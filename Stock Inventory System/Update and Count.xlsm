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cts\Stock Inventory System\"/>
    </mc:Choice>
  </mc:AlternateContent>
  <xr:revisionPtr revIDLastSave="0" documentId="13_ncr:1_{458DC6A2-7341-4C14-AC4A-849331962FEB}" xr6:coauthVersionLast="47" xr6:coauthVersionMax="47" xr10:uidLastSave="{00000000-0000-0000-0000-000000000000}"/>
  <bookViews>
    <workbookView xWindow="-20610" yWindow="1725" windowWidth="20730" windowHeight="11040" xr2:uid="{44AEF5DF-05C2-45C7-B3EA-DE0AC51449DF}"/>
  </bookViews>
  <sheets>
    <sheet name="Sheet1" sheetId="1" r:id="rId1"/>
    <sheet name="Items List" sheetId="2" r:id="rId2"/>
    <sheet name="Net Stock" sheetId="1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1" l="1" a="1"/>
  <c r="A2" i="11" s="1"/>
  <c r="B2" i="11" s="1"/>
  <c r="C7" i="1"/>
  <c r="C9" i="1"/>
  <c r="C8" i="1"/>
  <c r="B154" i="11" l="1"/>
  <c r="B146" i="11"/>
  <c r="B138" i="11"/>
  <c r="B130" i="11"/>
  <c r="B122" i="11"/>
  <c r="B114" i="11"/>
  <c r="B106" i="11"/>
  <c r="B98" i="11"/>
  <c r="B90" i="11"/>
  <c r="B82" i="11"/>
  <c r="B74" i="11"/>
  <c r="B66" i="11"/>
  <c r="B58" i="11"/>
  <c r="B50" i="11"/>
  <c r="B42" i="11"/>
  <c r="B34" i="11"/>
  <c r="B26" i="11"/>
  <c r="B18" i="11"/>
  <c r="B10" i="11"/>
  <c r="B129" i="11"/>
  <c r="B105" i="11"/>
  <c r="B81" i="11"/>
  <c r="B65" i="11"/>
  <c r="B41" i="11"/>
  <c r="B25" i="11"/>
  <c r="B9" i="11"/>
  <c r="B137" i="11"/>
  <c r="B113" i="11"/>
  <c r="B89" i="11"/>
  <c r="B73" i="11"/>
  <c r="B49" i="11"/>
  <c r="B33" i="11"/>
  <c r="B17" i="11"/>
  <c r="B152" i="11"/>
  <c r="B128" i="11"/>
  <c r="B104" i="11"/>
  <c r="B96" i="11"/>
  <c r="B72" i="11"/>
  <c r="B48" i="11"/>
  <c r="B8" i="11"/>
  <c r="B159" i="11"/>
  <c r="B151" i="11"/>
  <c r="B143" i="11"/>
  <c r="B135" i="11"/>
  <c r="B127" i="11"/>
  <c r="B119" i="11"/>
  <c r="B111" i="11"/>
  <c r="B103" i="11"/>
  <c r="B95" i="11"/>
  <c r="B87" i="11"/>
  <c r="B79" i="11"/>
  <c r="B71" i="11"/>
  <c r="B63" i="11"/>
  <c r="B55" i="11"/>
  <c r="B47" i="11"/>
  <c r="B39" i="11"/>
  <c r="B31" i="11"/>
  <c r="B23" i="11"/>
  <c r="B15" i="11"/>
  <c r="B7" i="11"/>
  <c r="B144" i="11"/>
  <c r="B120" i="11"/>
  <c r="B88" i="11"/>
  <c r="B64" i="11"/>
  <c r="B40" i="11"/>
  <c r="B24" i="11"/>
  <c r="B158" i="11"/>
  <c r="B150" i="11"/>
  <c r="B142" i="11"/>
  <c r="B134" i="11"/>
  <c r="B126" i="11"/>
  <c r="B118" i="11"/>
  <c r="B110" i="11"/>
  <c r="B102" i="11"/>
  <c r="B94" i="11"/>
  <c r="B86" i="11"/>
  <c r="B78" i="11"/>
  <c r="B70" i="11"/>
  <c r="B62" i="11"/>
  <c r="B54" i="11"/>
  <c r="B46" i="11"/>
  <c r="B38" i="11"/>
  <c r="B30" i="11"/>
  <c r="B22" i="11"/>
  <c r="B14" i="11"/>
  <c r="B6" i="11"/>
  <c r="B153" i="11"/>
  <c r="B121" i="11"/>
  <c r="B97" i="11"/>
  <c r="B57" i="11"/>
  <c r="B136" i="11"/>
  <c r="B112" i="11"/>
  <c r="B80" i="11"/>
  <c r="B56" i="11"/>
  <c r="B32" i="11"/>
  <c r="B16" i="11"/>
  <c r="B157" i="11"/>
  <c r="B149" i="11"/>
  <c r="B141" i="11"/>
  <c r="B133" i="11"/>
  <c r="B125" i="11"/>
  <c r="B117" i="11"/>
  <c r="B109" i="11"/>
  <c r="B101" i="11"/>
  <c r="B93" i="11"/>
  <c r="B85" i="11"/>
  <c r="B77" i="11"/>
  <c r="B69" i="11"/>
  <c r="B61" i="11"/>
  <c r="B53" i="11"/>
  <c r="B45" i="11"/>
  <c r="B37" i="11"/>
  <c r="B29" i="11"/>
  <c r="B21" i="11"/>
  <c r="B13" i="11"/>
  <c r="B5" i="11"/>
  <c r="B140" i="11"/>
  <c r="B124" i="11"/>
  <c r="B100" i="11"/>
  <c r="B4" i="11"/>
  <c r="B145" i="11"/>
  <c r="B156" i="11"/>
  <c r="B148" i="11"/>
  <c r="B132" i="11"/>
  <c r="B116" i="11"/>
  <c r="B108" i="11"/>
  <c r="B92" i="11"/>
  <c r="B84" i="11"/>
  <c r="B76" i="11"/>
  <c r="B68" i="11"/>
  <c r="B60" i="11"/>
  <c r="B52" i="11"/>
  <c r="B44" i="11"/>
  <c r="B36" i="11"/>
  <c r="B28" i="11"/>
  <c r="B20" i="11"/>
  <c r="B12" i="11"/>
  <c r="B155" i="11"/>
  <c r="B147" i="11"/>
  <c r="B139" i="11"/>
  <c r="B131" i="11"/>
  <c r="B123" i="11"/>
  <c r="B115" i="11"/>
  <c r="B107" i="11"/>
  <c r="B99" i="11"/>
  <c r="B91" i="11"/>
  <c r="B83" i="11"/>
  <c r="B75" i="11"/>
  <c r="B67" i="11"/>
  <c r="B59" i="11"/>
  <c r="B51" i="11"/>
  <c r="B43" i="11"/>
  <c r="B35" i="11"/>
  <c r="B27" i="11"/>
  <c r="B19" i="11"/>
  <c r="B11" i="11"/>
  <c r="B3" i="11"/>
  <c r="C3" i="11"/>
  <c r="C69" i="11"/>
  <c r="C125" i="11"/>
  <c r="C61" i="11"/>
  <c r="C109" i="11"/>
  <c r="C45" i="11"/>
  <c r="C53" i="11"/>
  <c r="C157" i="11"/>
  <c r="C101" i="11"/>
  <c r="C37" i="11"/>
  <c r="C133" i="11"/>
  <c r="C156" i="11"/>
  <c r="C93" i="11"/>
  <c r="C29" i="11"/>
  <c r="C117" i="11"/>
  <c r="C149" i="11"/>
  <c r="C85" i="11"/>
  <c r="C21" i="11"/>
  <c r="C141" i="11"/>
  <c r="C77" i="11"/>
  <c r="C13" i="11"/>
  <c r="C10" i="11"/>
  <c r="C9" i="11"/>
  <c r="C146" i="11"/>
  <c r="C130" i="11"/>
  <c r="C114" i="11"/>
  <c r="C98" i="11"/>
  <c r="C82" i="11"/>
  <c r="C74" i="11"/>
  <c r="C58" i="11"/>
  <c r="C50" i="11"/>
  <c r="C42" i="11"/>
  <c r="C34" i="11"/>
  <c r="C26" i="11"/>
  <c r="C18" i="11"/>
  <c r="C153" i="11"/>
  <c r="C129" i="11"/>
  <c r="C113" i="11"/>
  <c r="C97" i="11"/>
  <c r="C81" i="11"/>
  <c r="C65" i="11"/>
  <c r="C49" i="11"/>
  <c r="C33" i="11"/>
  <c r="C2" i="11"/>
  <c r="C152" i="11"/>
  <c r="C144" i="11"/>
  <c r="C136" i="11"/>
  <c r="C128" i="11"/>
  <c r="C120" i="11"/>
  <c r="C112" i="11"/>
  <c r="C104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C148" i="11"/>
  <c r="C154" i="11"/>
  <c r="C138" i="11"/>
  <c r="C122" i="11"/>
  <c r="C106" i="11"/>
  <c r="C90" i="11"/>
  <c r="C66" i="11"/>
  <c r="C145" i="11"/>
  <c r="C137" i="11"/>
  <c r="C121" i="11"/>
  <c r="C105" i="11"/>
  <c r="C89" i="11"/>
  <c r="C73" i="11"/>
  <c r="C57" i="11"/>
  <c r="C41" i="11"/>
  <c r="C25" i="11"/>
  <c r="C159" i="11"/>
  <c r="C151" i="11"/>
  <c r="C143" i="11"/>
  <c r="C135" i="11"/>
  <c r="C127" i="11"/>
  <c r="C119" i="11"/>
  <c r="C111" i="11"/>
  <c r="C103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C17" i="11"/>
  <c r="C158" i="11"/>
  <c r="C150" i="11"/>
  <c r="C142" i="11"/>
  <c r="C134" i="11"/>
  <c r="C126" i="11"/>
  <c r="C118" i="11"/>
  <c r="C110" i="11"/>
  <c r="C102" i="11"/>
  <c r="C94" i="11"/>
  <c r="C86" i="11"/>
  <c r="C78" i="11"/>
  <c r="C70" i="11"/>
  <c r="C62" i="11"/>
  <c r="C54" i="11"/>
  <c r="C46" i="11"/>
  <c r="C38" i="11"/>
  <c r="C30" i="11"/>
  <c r="C22" i="11"/>
  <c r="C14" i="11"/>
  <c r="C6" i="11"/>
  <c r="C5" i="11"/>
  <c r="C4" i="11"/>
  <c r="C140" i="11"/>
  <c r="C132" i="11"/>
  <c r="C124" i="11"/>
  <c r="C116" i="11"/>
  <c r="C108" i="11"/>
  <c r="C100" i="11"/>
  <c r="C92" i="11"/>
  <c r="C84" i="11"/>
  <c r="C76" i="11"/>
  <c r="C68" i="11"/>
  <c r="C60" i="11"/>
  <c r="C52" i="11"/>
  <c r="C44" i="11"/>
  <c r="C36" i="11"/>
  <c r="C28" i="11"/>
  <c r="C20" i="11"/>
  <c r="C12" i="11"/>
  <c r="C155" i="11"/>
  <c r="C147" i="11"/>
  <c r="C139" i="11"/>
  <c r="C131" i="11"/>
  <c r="C123" i="11"/>
  <c r="C115" i="11"/>
  <c r="C107" i="11"/>
  <c r="C99" i="11"/>
  <c r="C91" i="11"/>
  <c r="C83" i="11"/>
  <c r="C75" i="11"/>
  <c r="C67" i="11"/>
  <c r="C59" i="11"/>
  <c r="C51" i="11"/>
  <c r="C43" i="11"/>
  <c r="C35" i="11"/>
  <c r="C27" i="11"/>
  <c r="C19" i="11"/>
  <c r="C11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<sst xmlns="http://schemas.openxmlformats.org/spreadsheetml/2006/main" count="25" uniqueCount="13">
  <si>
    <t>Inventory Management Log Book</t>
  </si>
  <si>
    <t>Date</t>
  </si>
  <si>
    <t>Item Code</t>
  </si>
  <si>
    <t>Quantity</t>
  </si>
  <si>
    <t>Credited</t>
  </si>
  <si>
    <t>Debited</t>
  </si>
  <si>
    <t>Item Name</t>
  </si>
  <si>
    <t>Type</t>
  </si>
  <si>
    <t>Types</t>
  </si>
  <si>
    <t>Item Codes</t>
  </si>
  <si>
    <t>A</t>
  </si>
  <si>
    <t>B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</si>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</sst>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Alignment="1"/>
    <xf numFmtId="14" fontId="0" fillId="0" borderId="0" xfId="0" applyNumberFormat="1" applyAlignment="1">
      <alignment horizontal="left" vertical="center"/>
    </xf>
    <xf numFmtId="0" fontId="0" fillId="0" borderId="1" xfId="0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0" fontId="0" fillId="0" borderId="0" xfId="0" applyBorder="1" applyAlignment="1"/>
    <xf numFmtId="0" fontId="0" fillId="0" borderId="0" xfId="0" applyBorder="1"/>
    <xf numFmtId="14" fontId="0" fillId="0" borderId="0" xfId="0" applyNumberFormat="1" applyBorder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1">
    <cellStyle name="Normal" xfId="0" builtinId="0"/>
  </cellStyles>
  <dxfs count="1"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655320</xdr:colOff>
          <xdr:row>3</xdr:row>
          <xdr:rowOff>76200</xdr:rowOff>
        </xdr:from>
        <xdr:to>
          <xdr:col>4</xdr:col>
          <xdr:colOff>807720</xdr:colOff>
          <xdr:row>5</xdr:row>
          <xdr:rowOff>160020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1267D2-7FCD-4796-B6C1-477CDACB76D5}" name="Table1" displayName="Table1" ref="B11:F31" totalsRowShown="0">
  <autoFilter ref="B11:F31" xr:uid="{C31267D2-7FCD-4796-B6C1-477CDACB76D5}"/>
  <tableColumns count="5">
    <tableColumn id="1" xr3:uid="{0C9CE124-86E8-4B12-A7F7-B7735F670F56}" name="Date" dataDxfId="0"/>
    <tableColumn id="2" xr3:uid="{5BE406B8-BCE9-437B-9F74-1064348AF01D}" name="Item Code"/>
    <tableColumn id="3" xr3:uid="{53497EEB-02A8-45E7-9F50-4E5D11F8FEC4}" name="Item Name"/>
    <tableColumn id="4" xr3:uid="{50375A50-D31F-4A10-9178-C763CDCF9240}" name="Quantity"/>
    <tableColumn id="5" xr3:uid="{6D6BBAE1-36B8-4AE8-B7CF-622D4DC6DF84}" name="Column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54059-B75B-4A4B-B0A1-13BFBE7A29A5}">
  <sheetPr codeName="Sheet1"/>
  <dimension ref="B1:I29"/>
  <sheetViews>
    <sheetView tabSelected="1" zoomScale="145" zoomScaleNormal="145" workbookViewId="0">
      <selection activeCell="F10" sqref="F10"/>
    </sheetView>
  </sheetViews>
  <sheetFormatPr defaultRowHeight="14.4" x14ac:dyDescent="0.3"/>
  <cols>
    <col min="2" max="2" width="15.77734375" customWidth="1"/>
    <col min="3" max="3" width="15.21875" customWidth="1"/>
    <col min="4" max="4" width="18.21875" customWidth="1"/>
    <col min="5" max="5" width="15.21875" customWidth="1"/>
    <col min="6" max="6" width="18.21875" customWidth="1"/>
  </cols>
  <sheetData>
    <row r="1" spans="2:9" x14ac:dyDescent="0.3">
      <c r="B1" s="10" t="s">
        <v>0</v>
      </c>
      <c r="C1" s="11"/>
      <c r="D1" s="7"/>
      <c r="E1" s="7"/>
      <c r="F1" s="7"/>
      <c r="G1" s="3"/>
      <c r="H1" s="3"/>
      <c r="I1" s="3"/>
    </row>
    <row r="2" spans="2:9" x14ac:dyDescent="0.3">
      <c r="B2" s="12"/>
      <c r="C2" s="13"/>
      <c r="D2" s="8"/>
      <c r="E2" s="8"/>
      <c r="F2" s="8"/>
    </row>
    <row r="3" spans="2:9" x14ac:dyDescent="0.3">
      <c r="B3" s="5" t="s">
        <v>7</v>
      </c>
      <c r="C3" s="5"/>
      <c r="D3" s="8"/>
      <c r="E3" s="8"/>
      <c r="F3" s="8"/>
    </row>
    <row r="4" spans="2:9" x14ac:dyDescent="0.3">
      <c r="B4" s="5" t="s">
        <v>3</v>
      </c>
      <c r="C4" s="5"/>
      <c r="D4" s="9"/>
      <c r="E4" s="8"/>
      <c r="F4" s="8"/>
    </row>
    <row r="5" spans="2:9" x14ac:dyDescent="0.3">
      <c r="B5" s="5" t="s">
        <v>1</v>
      </c>
      <c r="C5" s="6"/>
      <c r="D5" s="7"/>
      <c r="E5" s="8"/>
      <c r="F5" s="8"/>
    </row>
    <row r="6" spans="2:9" x14ac:dyDescent="0.3">
      <c r="B6" s="5" t="s">
        <v>2</v>
      </c>
      <c r="C6" s="5"/>
      <c r="D6" s="7"/>
      <c r="E6" s="8"/>
      <c r="F6" s="8"/>
    </row>
    <row r="7" spans="2:9" x14ac:dyDescent="0.3">
      <c r="B7" s="5" t="s">
        <v>6</v>
      </c>
      <c r="C7" s="5" t="e">
        <f>VLOOKUP(C6,'Items List'!B3:C100, 2, FALSE)</f>
        <v>#N/A</v>
      </c>
      <c r="D7" s="8"/>
      <c r="E7" s="8"/>
      <c r="F7" s="8"/>
    </row>
    <row r="8" spans="2:9" x14ac:dyDescent="0.3">
      <c r="B8" s="5" t="s">
        <v>4</v>
      </c>
      <c r="C8" s="5">
        <f>IF(C3="Credited", C4, 0)</f>
        <v>0</v>
      </c>
      <c r="D8" s="8"/>
      <c r="E8" s="8"/>
      <c r="F8" s="8"/>
    </row>
    <row r="9" spans="2:9" x14ac:dyDescent="0.3">
      <c r="B9" s="5" t="s">
        <v>5</v>
      </c>
      <c r="C9" s="5">
        <f>IF(C3="Debited", C4, 0)</f>
        <v>0</v>
      </c>
      <c r="D9" s="8"/>
      <c r="E9" s="8"/>
      <c r="F9" s="8"/>
    </row>
    <row r="11" spans="2:9" x14ac:dyDescent="0.3">
      <c r="B11" t="s">
        <v>1</v>
      </c>
      <c r="C11" t="s">
        <v>2</v>
      </c>
      <c r="D11" t="s">
        <v>6</v>
      </c>
      <c r="E11" s="1" t="s">
        <v>3</v>
      </c>
      <c r="F11" s="1" t="s">
        <v>12</v>
      </c>
    </row>
    <row r="12" spans="2:9" x14ac:dyDescent="0.3">
      <c r="E12" t="s">
        <v>4</v>
      </c>
      <c r="F12" t="s">
        <v>5</v>
      </c>
    </row>
    <row r="13" spans="2:9" x14ac:dyDescent="0.3">
      <c r="B13" s="4"/>
    </row>
    <row r="14" spans="2:9" x14ac:dyDescent="0.3">
      <c r="B14" s="4"/>
    </row>
    <row r="15" spans="2:9" x14ac:dyDescent="0.3">
      <c r="B15" s="4"/>
    </row>
    <row r="16" spans="2:9" x14ac:dyDescent="0.3">
      <c r="B16" s="4"/>
    </row>
    <row r="17" spans="2:2" x14ac:dyDescent="0.3">
      <c r="B17" s="4"/>
    </row>
    <row r="18" spans="2:2" x14ac:dyDescent="0.3">
      <c r="B18" s="4"/>
    </row>
    <row r="19" spans="2:2" x14ac:dyDescent="0.3">
      <c r="B19" s="4"/>
    </row>
    <row r="20" spans="2:2" x14ac:dyDescent="0.3">
      <c r="B20" s="4"/>
    </row>
    <row r="21" spans="2:2" x14ac:dyDescent="0.3">
      <c r="B21" s="4"/>
    </row>
    <row r="22" spans="2:2" x14ac:dyDescent="0.3">
      <c r="B22" s="4"/>
    </row>
    <row r="23" spans="2:2" x14ac:dyDescent="0.3">
      <c r="B23" s="4"/>
    </row>
    <row r="24" spans="2:2" x14ac:dyDescent="0.3">
      <c r="B24" s="4"/>
    </row>
    <row r="25" spans="2:2" x14ac:dyDescent="0.3">
      <c r="B25" s="4"/>
    </row>
    <row r="26" spans="2:2" x14ac:dyDescent="0.3">
      <c r="B26" s="4"/>
    </row>
    <row r="27" spans="2:2" x14ac:dyDescent="0.3">
      <c r="B27" s="2"/>
    </row>
    <row r="28" spans="2:2" x14ac:dyDescent="0.3">
      <c r="B28" s="2"/>
    </row>
    <row r="29" spans="2:2" x14ac:dyDescent="0.3">
      <c r="B29" s="2"/>
    </row>
  </sheetData>
  <mergeCells count="1">
    <mergeCell ref="B1:C2"/>
  </mergeCells>
  <dataValidations count="1">
    <dataValidation type="custom" allowBlank="1" showInputMessage="1" showErrorMessage="1" sqref="D3" xr:uid="{CCDBEC17-6EFB-472D-9468-D70954ED05AC}">
      <formula1>"Credited,Debited"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Update">
                <anchor moveWithCells="1" sizeWithCells="1">
                  <from>
                    <xdr:col>3</xdr:col>
                    <xdr:colOff>655320</xdr:colOff>
                    <xdr:row>3</xdr:row>
                    <xdr:rowOff>76200</xdr:rowOff>
                  </from>
                  <to>
                    <xdr:col>4</xdr:col>
                    <xdr:colOff>807720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61A0A05-048E-4955-BE4F-675FAD5C9342}">
          <x14:formula1>
            <xm:f>'Items List'!$A$2:$A$3</xm:f>
          </x14:formula1>
          <xm:sqref>C3</xm:sqref>
        </x14:dataValidation>
        <x14:dataValidation type="list" allowBlank="1" showInputMessage="1" showErrorMessage="1" xr:uid="{18A67C5B-1137-4607-ABD0-01E226F706CB}">
          <x14:formula1>
            <xm:f>'Items List'!$B$3:$B$373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2507F-D5F5-44D0-BE2F-C33138CA51B5}">
  <sheetPr codeName="Sheet2"/>
  <dimension ref="A1:C52"/>
  <sheetViews>
    <sheetView zoomScale="115" zoomScaleNormal="115" workbookViewId="0">
      <selection activeCell="B3" sqref="B3:B52"/>
    </sheetView>
  </sheetViews>
  <sheetFormatPr defaultRowHeight="14.4" x14ac:dyDescent="0.3"/>
  <cols>
    <col min="2" max="2" width="18.77734375" customWidth="1"/>
    <col min="3" max="3" width="11" customWidth="1"/>
    <col min="4" max="4" width="10.21875" customWidth="1"/>
  </cols>
  <sheetData>
    <row r="1" spans="1:3" x14ac:dyDescent="0.3">
      <c r="A1" t="s">
        <v>8</v>
      </c>
    </row>
    <row r="2" spans="1:3" x14ac:dyDescent="0.3">
      <c r="A2" t="s">
        <v>4</v>
      </c>
      <c r="B2" t="s">
        <v>9</v>
      </c>
      <c r="C2" t="s">
        <v>6</v>
      </c>
    </row>
    <row r="3" spans="1:3" x14ac:dyDescent="0.3">
      <c r="A3" t="s">
        <v>5</v>
      </c>
      <c r="B3">
        <v>4001</v>
      </c>
      <c r="C3" t="s">
        <v>10</v>
      </c>
    </row>
    <row r="4" spans="1:3" x14ac:dyDescent="0.3">
      <c r="B4">
        <v>4002</v>
      </c>
      <c r="C4" t="s">
        <v>11</v>
      </c>
    </row>
    <row r="5" spans="1:3" x14ac:dyDescent="0.3">
      <c r="B5">
        <v>4003</v>
      </c>
    </row>
    <row r="6" spans="1:3" x14ac:dyDescent="0.3">
      <c r="B6">
        <v>4004</v>
      </c>
    </row>
    <row r="7" spans="1:3" x14ac:dyDescent="0.3">
      <c r="B7">
        <v>4005</v>
      </c>
    </row>
    <row r="8" spans="1:3" x14ac:dyDescent="0.3">
      <c r="B8">
        <v>4006</v>
      </c>
    </row>
    <row r="9" spans="1:3" x14ac:dyDescent="0.3">
      <c r="B9">
        <v>4007</v>
      </c>
    </row>
    <row r="10" spans="1:3" x14ac:dyDescent="0.3">
      <c r="B10">
        <v>4008</v>
      </c>
    </row>
    <row r="11" spans="1:3" x14ac:dyDescent="0.3">
      <c r="B11">
        <v>4009</v>
      </c>
    </row>
    <row r="12" spans="1:3" x14ac:dyDescent="0.3">
      <c r="B12">
        <v>4010</v>
      </c>
    </row>
    <row r="13" spans="1:3" x14ac:dyDescent="0.3">
      <c r="B13">
        <v>4011</v>
      </c>
    </row>
    <row r="14" spans="1:3" x14ac:dyDescent="0.3">
      <c r="B14">
        <v>4012</v>
      </c>
    </row>
    <row r="15" spans="1:3" x14ac:dyDescent="0.3">
      <c r="B15">
        <v>4013</v>
      </c>
    </row>
    <row r="16" spans="1:3" x14ac:dyDescent="0.3">
      <c r="B16">
        <v>4014</v>
      </c>
    </row>
    <row r="17" spans="2:2" x14ac:dyDescent="0.3">
      <c r="B17">
        <v>4015</v>
      </c>
    </row>
    <row r="18" spans="2:2" x14ac:dyDescent="0.3">
      <c r="B18">
        <v>4016</v>
      </c>
    </row>
    <row r="19" spans="2:2" x14ac:dyDescent="0.3">
      <c r="B19">
        <v>4017</v>
      </c>
    </row>
    <row r="20" spans="2:2" x14ac:dyDescent="0.3">
      <c r="B20">
        <v>4018</v>
      </c>
    </row>
    <row r="21" spans="2:2" x14ac:dyDescent="0.3">
      <c r="B21">
        <v>4019</v>
      </c>
    </row>
    <row r="22" spans="2:2" x14ac:dyDescent="0.3">
      <c r="B22">
        <v>4020</v>
      </c>
    </row>
    <row r="23" spans="2:2" x14ac:dyDescent="0.3">
      <c r="B23">
        <v>4021</v>
      </c>
    </row>
    <row r="24" spans="2:2" x14ac:dyDescent="0.3">
      <c r="B24">
        <v>4022</v>
      </c>
    </row>
    <row r="25" spans="2:2" x14ac:dyDescent="0.3">
      <c r="B25">
        <v>4023</v>
      </c>
    </row>
    <row r="26" spans="2:2" x14ac:dyDescent="0.3">
      <c r="B26">
        <v>4024</v>
      </c>
    </row>
    <row r="27" spans="2:2" x14ac:dyDescent="0.3">
      <c r="B27">
        <v>4025</v>
      </c>
    </row>
    <row r="28" spans="2:2" x14ac:dyDescent="0.3">
      <c r="B28">
        <v>4026</v>
      </c>
    </row>
    <row r="29" spans="2:2" x14ac:dyDescent="0.3">
      <c r="B29">
        <v>4027</v>
      </c>
    </row>
    <row r="30" spans="2:2" x14ac:dyDescent="0.3">
      <c r="B30">
        <v>4028</v>
      </c>
    </row>
    <row r="31" spans="2:2" x14ac:dyDescent="0.3">
      <c r="B31">
        <v>4029</v>
      </c>
    </row>
    <row r="32" spans="2:2" x14ac:dyDescent="0.3">
      <c r="B32">
        <v>4030</v>
      </c>
    </row>
    <row r="33" spans="2:2" x14ac:dyDescent="0.3">
      <c r="B33">
        <v>4031</v>
      </c>
    </row>
    <row r="34" spans="2:2" x14ac:dyDescent="0.3">
      <c r="B34">
        <v>4032</v>
      </c>
    </row>
    <row r="35" spans="2:2" x14ac:dyDescent="0.3">
      <c r="B35">
        <v>4033</v>
      </c>
    </row>
    <row r="36" spans="2:2" x14ac:dyDescent="0.3">
      <c r="B36">
        <v>4034</v>
      </c>
    </row>
    <row r="37" spans="2:2" x14ac:dyDescent="0.3">
      <c r="B37">
        <v>4035</v>
      </c>
    </row>
    <row r="38" spans="2:2" x14ac:dyDescent="0.3">
      <c r="B38">
        <v>4036</v>
      </c>
    </row>
    <row r="39" spans="2:2" x14ac:dyDescent="0.3">
      <c r="B39">
        <v>4037</v>
      </c>
    </row>
    <row r="40" spans="2:2" x14ac:dyDescent="0.3">
      <c r="B40">
        <v>4038</v>
      </c>
    </row>
    <row r="41" spans="2:2" x14ac:dyDescent="0.3">
      <c r="B41">
        <v>4039</v>
      </c>
    </row>
    <row r="42" spans="2:2" x14ac:dyDescent="0.3">
      <c r="B42">
        <v>4040</v>
      </c>
    </row>
    <row r="43" spans="2:2" x14ac:dyDescent="0.3">
      <c r="B43">
        <v>4041</v>
      </c>
    </row>
    <row r="44" spans="2:2" x14ac:dyDescent="0.3">
      <c r="B44">
        <v>4042</v>
      </c>
    </row>
    <row r="45" spans="2:2" x14ac:dyDescent="0.3">
      <c r="B45">
        <v>4043</v>
      </c>
    </row>
    <row r="46" spans="2:2" x14ac:dyDescent="0.3">
      <c r="B46">
        <v>4044</v>
      </c>
    </row>
    <row r="47" spans="2:2" x14ac:dyDescent="0.3">
      <c r="B47">
        <v>4045</v>
      </c>
    </row>
    <row r="48" spans="2:2" x14ac:dyDescent="0.3">
      <c r="B48">
        <v>4046</v>
      </c>
    </row>
    <row r="49" spans="2:2" x14ac:dyDescent="0.3">
      <c r="B49">
        <v>4047</v>
      </c>
    </row>
    <row r="50" spans="2:2" x14ac:dyDescent="0.3">
      <c r="B50">
        <v>4048</v>
      </c>
    </row>
    <row r="51" spans="2:2" x14ac:dyDescent="0.3">
      <c r="B51">
        <v>4049</v>
      </c>
    </row>
    <row r="52" spans="2:2" x14ac:dyDescent="0.3">
      <c r="B52">
        <v>4050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4F82A-3F41-4913-9C71-B42540BFB66C}">
  <sheetPr codeName="Sheet10"/>
  <dimension ref="A1:C159"/>
  <sheetViews>
    <sheetView workbookViewId="0">
      <selection activeCell="H8" sqref="H8"/>
    </sheetView>
  </sheetViews>
  <sheetFormatPr defaultRowHeight="14.4" x14ac:dyDescent="0.3"/>
  <cols>
    <col min="1" max="1" width="14.21875" customWidth="1"/>
    <col min="2" max="2" width="17.77734375" customWidth="1"/>
  </cols>
  <sheetData>
    <row r="1" spans="1:3" x14ac:dyDescent="0.3">
      <c r="A1" t="s">
        <v>2</v>
      </c>
      <c r="B1" t="s">
        <v>6</v>
      </c>
      <c r="C1" t="s">
        <v>3</v>
      </c>
    </row>
    <row r="2" spans="1:3" x14ac:dyDescent="0.3">
      <c r="A2" cm="1">
        <f t="array" ref="A2:A159">'Items List'!B3:B160</f>
        <v>4001</v>
      </c>
      <c r="B2" t="str">
        <f>VLOOKUP(A2,'Items List'!B3:C100, 2, FALSE)</f>
        <v>A</v>
      </c>
      <c r="C2">
        <f>SUMIFS(Sheet1!E:E, Sheet1!C:C, A2) - SUMIFS(Sheet1!F:F, Sheet1!C:C, A2)</f>
        <v>0</v>
      </c>
    </row>
    <row r="3" spans="1:3" x14ac:dyDescent="0.3">
      <c r="A3">
        <v>4002</v>
      </c>
      <c r="B3" t="str">
        <f>VLOOKUP(A3,'Items List'!B4:C101, 2, FALSE)</f>
        <v>B</v>
      </c>
      <c r="C3">
        <f>SUMIFS(Sheet1!E:E, Sheet1!C:C, A3) - SUMIFS(Sheet1!F:F, Sheet1!C:C, A3)</f>
        <v>0</v>
      </c>
    </row>
    <row r="4" spans="1:3" x14ac:dyDescent="0.3">
      <c r="A4">
        <v>4003</v>
      </c>
      <c r="B4">
        <f>VLOOKUP(A4,'Items List'!B5:C102, 2, FALSE)</f>
        <v>0</v>
      </c>
      <c r="C4">
        <f>SUMIFS(Sheet1!E:E, Sheet1!C:C, A4) - SUMIFS(Sheet1!F:F, Sheet1!C:C, A4)</f>
        <v>0</v>
      </c>
    </row>
    <row r="5" spans="1:3" x14ac:dyDescent="0.3">
      <c r="A5">
        <v>4004</v>
      </c>
      <c r="B5">
        <f>VLOOKUP(A5,'Items List'!B6:C103, 2, FALSE)</f>
        <v>0</v>
      </c>
      <c r="C5">
        <f>SUMIFS(Sheet1!E:E, Sheet1!C:C, A5) - SUMIFS(Sheet1!F:F, Sheet1!C:C, A5)</f>
        <v>0</v>
      </c>
    </row>
    <row r="6" spans="1:3" x14ac:dyDescent="0.3">
      <c r="A6">
        <v>4005</v>
      </c>
      <c r="B6">
        <f>VLOOKUP(A6,'Items List'!B7:C104, 2, FALSE)</f>
        <v>0</v>
      </c>
      <c r="C6">
        <f>SUMIFS(Sheet1!E:E, Sheet1!C:C, A6) - SUMIFS(Sheet1!F:F, Sheet1!C:C, A6)</f>
        <v>0</v>
      </c>
    </row>
    <row r="7" spans="1:3" x14ac:dyDescent="0.3">
      <c r="A7">
        <v>4006</v>
      </c>
      <c r="B7">
        <f>VLOOKUP(A7,'Items List'!B8:C105, 2, FALSE)</f>
        <v>0</v>
      </c>
      <c r="C7">
        <f>SUMIFS(Sheet1!E:E, Sheet1!C:C, A7) - SUMIFS(Sheet1!F:F, Sheet1!C:C, A7)</f>
        <v>0</v>
      </c>
    </row>
    <row r="8" spans="1:3" x14ac:dyDescent="0.3">
      <c r="A8">
        <v>4007</v>
      </c>
      <c r="B8">
        <f>VLOOKUP(A8,'Items List'!B9:C106, 2, FALSE)</f>
        <v>0</v>
      </c>
      <c r="C8">
        <f>SUMIFS(Sheet1!E:E, Sheet1!C:C, A8) - SUMIFS(Sheet1!F:F, Sheet1!C:C, A8)</f>
        <v>0</v>
      </c>
    </row>
    <row r="9" spans="1:3" x14ac:dyDescent="0.3">
      <c r="A9">
        <v>4008</v>
      </c>
      <c r="B9">
        <f>VLOOKUP(A9,'Items List'!B10:C107, 2, FALSE)</f>
        <v>0</v>
      </c>
      <c r="C9">
        <f>SUMIFS(Sheet1!E:E, Sheet1!C:C, A9) - SUMIFS(Sheet1!F:F, Sheet1!C:C, A9)</f>
        <v>0</v>
      </c>
    </row>
    <row r="10" spans="1:3" x14ac:dyDescent="0.3">
      <c r="A10">
        <v>4009</v>
      </c>
      <c r="B10">
        <f>VLOOKUP(A10,'Items List'!B11:C108, 2, FALSE)</f>
        <v>0</v>
      </c>
      <c r="C10">
        <f>SUMIFS(Sheet1!E:E, Sheet1!C:C, A10) - SUMIFS(Sheet1!F:F, Sheet1!C:C, A10)</f>
        <v>0</v>
      </c>
    </row>
    <row r="11" spans="1:3" x14ac:dyDescent="0.3">
      <c r="A11">
        <v>4010</v>
      </c>
      <c r="B11">
        <f>VLOOKUP(A11,'Items List'!B12:C109, 2, FALSE)</f>
        <v>0</v>
      </c>
      <c r="C11">
        <f>SUMIFS(Sheet1!E:E, Sheet1!C:C, A11) - SUMIFS(Sheet1!F:F, Sheet1!C:C, A11)</f>
        <v>0</v>
      </c>
    </row>
    <row r="12" spans="1:3" x14ac:dyDescent="0.3">
      <c r="A12">
        <v>4011</v>
      </c>
      <c r="B12">
        <f>VLOOKUP(A12,'Items List'!B13:C110, 2, FALSE)</f>
        <v>0</v>
      </c>
      <c r="C12">
        <f>SUMIFS(Sheet1!E:E, Sheet1!C:C, A12) - SUMIFS(Sheet1!F:F, Sheet1!C:C, A12)</f>
        <v>0</v>
      </c>
    </row>
    <row r="13" spans="1:3" x14ac:dyDescent="0.3">
      <c r="A13">
        <v>4012</v>
      </c>
      <c r="B13">
        <f>VLOOKUP(A13,'Items List'!B14:C111, 2, FALSE)</f>
        <v>0</v>
      </c>
      <c r="C13">
        <f>SUMIFS(Sheet1!E:E, Sheet1!C:C, A13) - SUMIFS(Sheet1!F:F, Sheet1!C:C, A13)</f>
        <v>0</v>
      </c>
    </row>
    <row r="14" spans="1:3" x14ac:dyDescent="0.3">
      <c r="A14">
        <v>4013</v>
      </c>
      <c r="B14">
        <f>VLOOKUP(A14,'Items List'!B15:C112, 2, FALSE)</f>
        <v>0</v>
      </c>
      <c r="C14">
        <f>SUMIFS(Sheet1!E:E, Sheet1!C:C, A14) - SUMIFS(Sheet1!F:F, Sheet1!C:C, A14)</f>
        <v>0</v>
      </c>
    </row>
    <row r="15" spans="1:3" x14ac:dyDescent="0.3">
      <c r="A15">
        <v>4014</v>
      </c>
      <c r="B15">
        <f>VLOOKUP(A15,'Items List'!B16:C113, 2, FALSE)</f>
        <v>0</v>
      </c>
      <c r="C15">
        <f>SUMIFS(Sheet1!E:E, Sheet1!C:C, A15) - SUMIFS(Sheet1!F:F, Sheet1!C:C, A15)</f>
        <v>0</v>
      </c>
    </row>
    <row r="16" spans="1:3" x14ac:dyDescent="0.3">
      <c r="A16">
        <v>4015</v>
      </c>
      <c r="B16">
        <f>VLOOKUP(A16,'Items List'!B17:C114, 2, FALSE)</f>
        <v>0</v>
      </c>
      <c r="C16">
        <f>SUMIFS(Sheet1!E:E, Sheet1!C:C, A16) - SUMIFS(Sheet1!F:F, Sheet1!C:C, A16)</f>
        <v>0</v>
      </c>
    </row>
    <row r="17" spans="1:3" x14ac:dyDescent="0.3">
      <c r="A17">
        <v>4016</v>
      </c>
      <c r="B17">
        <f>VLOOKUP(A17,'Items List'!B18:C115, 2, FALSE)</f>
        <v>0</v>
      </c>
      <c r="C17">
        <f>SUMIFS(Sheet1!E:E, Sheet1!C:C, A17) - SUMIFS(Sheet1!F:F, Sheet1!C:C, A17)</f>
        <v>0</v>
      </c>
    </row>
    <row r="18" spans="1:3" x14ac:dyDescent="0.3">
      <c r="A18">
        <v>4017</v>
      </c>
      <c r="B18">
        <f>VLOOKUP(A18,'Items List'!B19:C116, 2, FALSE)</f>
        <v>0</v>
      </c>
      <c r="C18">
        <f>SUMIFS(Sheet1!E:E, Sheet1!C:C, A18) - SUMIFS(Sheet1!F:F, Sheet1!C:C, A18)</f>
        <v>0</v>
      </c>
    </row>
    <row r="19" spans="1:3" x14ac:dyDescent="0.3">
      <c r="A19">
        <v>4018</v>
      </c>
      <c r="B19">
        <f>VLOOKUP(A19,'Items List'!B20:C117, 2, FALSE)</f>
        <v>0</v>
      </c>
      <c r="C19">
        <f>SUMIFS(Sheet1!E:E, Sheet1!C:C, A19) - SUMIFS(Sheet1!F:F, Sheet1!C:C, A19)</f>
        <v>0</v>
      </c>
    </row>
    <row r="20" spans="1:3" x14ac:dyDescent="0.3">
      <c r="A20">
        <v>4019</v>
      </c>
      <c r="B20">
        <f>VLOOKUP(A20,'Items List'!B21:C118, 2, FALSE)</f>
        <v>0</v>
      </c>
      <c r="C20">
        <f>SUMIFS(Sheet1!E:E, Sheet1!C:C, A20) - SUMIFS(Sheet1!F:F, Sheet1!C:C, A20)</f>
        <v>0</v>
      </c>
    </row>
    <row r="21" spans="1:3" x14ac:dyDescent="0.3">
      <c r="A21">
        <v>4020</v>
      </c>
      <c r="B21">
        <f>VLOOKUP(A21,'Items List'!B22:C119, 2, FALSE)</f>
        <v>0</v>
      </c>
      <c r="C21">
        <f>SUMIFS(Sheet1!E:E, Sheet1!C:C, A21) - SUMIFS(Sheet1!F:F, Sheet1!C:C, A21)</f>
        <v>0</v>
      </c>
    </row>
    <row r="22" spans="1:3" x14ac:dyDescent="0.3">
      <c r="A22">
        <v>4021</v>
      </c>
      <c r="B22">
        <f>VLOOKUP(A22,'Items List'!B23:C120, 2, FALSE)</f>
        <v>0</v>
      </c>
      <c r="C22">
        <f>SUMIFS(Sheet1!E:E, Sheet1!C:C, A22) - SUMIFS(Sheet1!F:F, Sheet1!C:C, A22)</f>
        <v>0</v>
      </c>
    </row>
    <row r="23" spans="1:3" x14ac:dyDescent="0.3">
      <c r="A23">
        <v>4022</v>
      </c>
      <c r="B23">
        <f>VLOOKUP(A23,'Items List'!B24:C121, 2, FALSE)</f>
        <v>0</v>
      </c>
      <c r="C23">
        <f>SUMIFS(Sheet1!E:E, Sheet1!C:C, A23) - SUMIFS(Sheet1!F:F, Sheet1!C:C, A23)</f>
        <v>0</v>
      </c>
    </row>
    <row r="24" spans="1:3" x14ac:dyDescent="0.3">
      <c r="A24">
        <v>4023</v>
      </c>
      <c r="B24">
        <f>VLOOKUP(A24,'Items List'!B25:C122, 2, FALSE)</f>
        <v>0</v>
      </c>
      <c r="C24">
        <f>SUMIFS(Sheet1!E:E, Sheet1!C:C, A24) - SUMIFS(Sheet1!F:F, Sheet1!C:C, A24)</f>
        <v>0</v>
      </c>
    </row>
    <row r="25" spans="1:3" x14ac:dyDescent="0.3">
      <c r="A25">
        <v>4024</v>
      </c>
      <c r="B25">
        <f>VLOOKUP(A25,'Items List'!B26:C123, 2, FALSE)</f>
        <v>0</v>
      </c>
      <c r="C25">
        <f>SUMIFS(Sheet1!E:E, Sheet1!C:C, A25) - SUMIFS(Sheet1!F:F, Sheet1!C:C, A25)</f>
        <v>0</v>
      </c>
    </row>
    <row r="26" spans="1:3" x14ac:dyDescent="0.3">
      <c r="A26">
        <v>4025</v>
      </c>
      <c r="B26">
        <f>VLOOKUP(A26,'Items List'!B27:C124, 2, FALSE)</f>
        <v>0</v>
      </c>
      <c r="C26">
        <f>SUMIFS(Sheet1!E:E, Sheet1!C:C, A26) - SUMIFS(Sheet1!F:F, Sheet1!C:C, A26)</f>
        <v>0</v>
      </c>
    </row>
    <row r="27" spans="1:3" x14ac:dyDescent="0.3">
      <c r="A27">
        <v>4026</v>
      </c>
      <c r="B27">
        <f>VLOOKUP(A27,'Items List'!B28:C125, 2, FALSE)</f>
        <v>0</v>
      </c>
      <c r="C27">
        <f>SUMIFS(Sheet1!E:E, Sheet1!C:C, A27) - SUMIFS(Sheet1!F:F, Sheet1!C:C, A27)</f>
        <v>0</v>
      </c>
    </row>
    <row r="28" spans="1:3" x14ac:dyDescent="0.3">
      <c r="A28">
        <v>4027</v>
      </c>
      <c r="B28">
        <f>VLOOKUP(A28,'Items List'!B29:C126, 2, FALSE)</f>
        <v>0</v>
      </c>
      <c r="C28">
        <f>SUMIFS(Sheet1!E:E, Sheet1!C:C, A28) - SUMIFS(Sheet1!F:F, Sheet1!C:C, A28)</f>
        <v>0</v>
      </c>
    </row>
    <row r="29" spans="1:3" x14ac:dyDescent="0.3">
      <c r="A29">
        <v>4028</v>
      </c>
      <c r="B29">
        <f>VLOOKUP(A29,'Items List'!B30:C127, 2, FALSE)</f>
        <v>0</v>
      </c>
      <c r="C29">
        <f>SUMIFS(Sheet1!E:E, Sheet1!C:C, A29) - SUMIFS(Sheet1!F:F, Sheet1!C:C, A29)</f>
        <v>0</v>
      </c>
    </row>
    <row r="30" spans="1:3" x14ac:dyDescent="0.3">
      <c r="A30">
        <v>4029</v>
      </c>
      <c r="B30">
        <f>VLOOKUP(A30,'Items List'!B31:C128, 2, FALSE)</f>
        <v>0</v>
      </c>
      <c r="C30">
        <f>SUMIFS(Sheet1!E:E, Sheet1!C:C, A30) - SUMIFS(Sheet1!F:F, Sheet1!C:C, A30)</f>
        <v>0</v>
      </c>
    </row>
    <row r="31" spans="1:3" x14ac:dyDescent="0.3">
      <c r="A31">
        <v>4030</v>
      </c>
      <c r="B31">
        <f>VLOOKUP(A31,'Items List'!B32:C129, 2, FALSE)</f>
        <v>0</v>
      </c>
      <c r="C31">
        <f>SUMIFS(Sheet1!E:E, Sheet1!C:C, A31) - SUMIFS(Sheet1!F:F, Sheet1!C:C, A31)</f>
        <v>0</v>
      </c>
    </row>
    <row r="32" spans="1:3" x14ac:dyDescent="0.3">
      <c r="A32">
        <v>4031</v>
      </c>
      <c r="B32">
        <f>VLOOKUP(A32,'Items List'!B33:C130, 2, FALSE)</f>
        <v>0</v>
      </c>
      <c r="C32">
        <f>SUMIFS(Sheet1!E:E, Sheet1!C:C, A32) - SUMIFS(Sheet1!F:F, Sheet1!C:C, A32)</f>
        <v>0</v>
      </c>
    </row>
    <row r="33" spans="1:3" x14ac:dyDescent="0.3">
      <c r="A33">
        <v>4032</v>
      </c>
      <c r="B33">
        <f>VLOOKUP(A33,'Items List'!B34:C131, 2, FALSE)</f>
        <v>0</v>
      </c>
      <c r="C33">
        <f>SUMIFS(Sheet1!E:E, Sheet1!C:C, A33) - SUMIFS(Sheet1!F:F, Sheet1!C:C, A33)</f>
        <v>0</v>
      </c>
    </row>
    <row r="34" spans="1:3" x14ac:dyDescent="0.3">
      <c r="A34">
        <v>4033</v>
      </c>
      <c r="B34">
        <f>VLOOKUP(A34,'Items List'!B35:C132, 2, FALSE)</f>
        <v>0</v>
      </c>
      <c r="C34">
        <f>SUMIFS(Sheet1!E:E, Sheet1!C:C, A34) - SUMIFS(Sheet1!F:F, Sheet1!C:C, A34)</f>
        <v>0</v>
      </c>
    </row>
    <row r="35" spans="1:3" x14ac:dyDescent="0.3">
      <c r="A35">
        <v>4034</v>
      </c>
      <c r="B35">
        <f>VLOOKUP(A35,'Items List'!B36:C133, 2, FALSE)</f>
        <v>0</v>
      </c>
      <c r="C35">
        <f>SUMIFS(Sheet1!E:E, Sheet1!C:C, A35) - SUMIFS(Sheet1!F:F, Sheet1!C:C, A35)</f>
        <v>0</v>
      </c>
    </row>
    <row r="36" spans="1:3" x14ac:dyDescent="0.3">
      <c r="A36">
        <v>4035</v>
      </c>
      <c r="B36">
        <f>VLOOKUP(A36,'Items List'!B37:C134, 2, FALSE)</f>
        <v>0</v>
      </c>
      <c r="C36">
        <f>SUMIFS(Sheet1!E:E, Sheet1!C:C, A36) - SUMIFS(Sheet1!F:F, Sheet1!C:C, A36)</f>
        <v>0</v>
      </c>
    </row>
    <row r="37" spans="1:3" x14ac:dyDescent="0.3">
      <c r="A37">
        <v>4036</v>
      </c>
      <c r="B37">
        <f>VLOOKUP(A37,'Items List'!B38:C135, 2, FALSE)</f>
        <v>0</v>
      </c>
      <c r="C37">
        <f>SUMIFS(Sheet1!E:E, Sheet1!C:C, A37) - SUMIFS(Sheet1!F:F, Sheet1!C:C, A37)</f>
        <v>0</v>
      </c>
    </row>
    <row r="38" spans="1:3" x14ac:dyDescent="0.3">
      <c r="A38">
        <v>4037</v>
      </c>
      <c r="B38">
        <f>VLOOKUP(A38,'Items List'!B39:C136, 2, FALSE)</f>
        <v>0</v>
      </c>
      <c r="C38">
        <f>SUMIFS(Sheet1!E:E, Sheet1!C:C, A38) - SUMIFS(Sheet1!F:F, Sheet1!C:C, A38)</f>
        <v>0</v>
      </c>
    </row>
    <row r="39" spans="1:3" x14ac:dyDescent="0.3">
      <c r="A39">
        <v>4038</v>
      </c>
      <c r="B39">
        <f>VLOOKUP(A39,'Items List'!B40:C137, 2, FALSE)</f>
        <v>0</v>
      </c>
      <c r="C39">
        <f>SUMIFS(Sheet1!E:E, Sheet1!C:C, A39) - SUMIFS(Sheet1!F:F, Sheet1!C:C, A39)</f>
        <v>0</v>
      </c>
    </row>
    <row r="40" spans="1:3" x14ac:dyDescent="0.3">
      <c r="A40">
        <v>4039</v>
      </c>
      <c r="B40">
        <f>VLOOKUP(A40,'Items List'!B41:C138, 2, FALSE)</f>
        <v>0</v>
      </c>
      <c r="C40">
        <f>SUMIFS(Sheet1!E:E, Sheet1!C:C, A40) - SUMIFS(Sheet1!F:F, Sheet1!C:C, A40)</f>
        <v>0</v>
      </c>
    </row>
    <row r="41" spans="1:3" x14ac:dyDescent="0.3">
      <c r="A41">
        <v>4040</v>
      </c>
      <c r="B41">
        <f>VLOOKUP(A41,'Items List'!B42:C139, 2, FALSE)</f>
        <v>0</v>
      </c>
      <c r="C41">
        <f>SUMIFS(Sheet1!E:E, Sheet1!C:C, A41) - SUMIFS(Sheet1!F:F, Sheet1!C:C, A41)</f>
        <v>0</v>
      </c>
    </row>
    <row r="42" spans="1:3" x14ac:dyDescent="0.3">
      <c r="A42">
        <v>4041</v>
      </c>
      <c r="B42">
        <f>VLOOKUP(A42,'Items List'!B43:C140, 2, FALSE)</f>
        <v>0</v>
      </c>
      <c r="C42">
        <f>SUMIFS(Sheet1!E:E, Sheet1!C:C, A42) - SUMIFS(Sheet1!F:F, Sheet1!C:C, A42)</f>
        <v>0</v>
      </c>
    </row>
    <row r="43" spans="1:3" x14ac:dyDescent="0.3">
      <c r="A43">
        <v>4042</v>
      </c>
      <c r="B43">
        <f>VLOOKUP(A43,'Items List'!B44:C141, 2, FALSE)</f>
        <v>0</v>
      </c>
      <c r="C43">
        <f>SUMIFS(Sheet1!E:E, Sheet1!C:C, A43) - SUMIFS(Sheet1!F:F, Sheet1!C:C, A43)</f>
        <v>0</v>
      </c>
    </row>
    <row r="44" spans="1:3" x14ac:dyDescent="0.3">
      <c r="A44">
        <v>4043</v>
      </c>
      <c r="B44">
        <f>VLOOKUP(A44,'Items List'!B45:C142, 2, FALSE)</f>
        <v>0</v>
      </c>
      <c r="C44">
        <f>SUMIFS(Sheet1!E:E, Sheet1!C:C, A44) - SUMIFS(Sheet1!F:F, Sheet1!C:C, A44)</f>
        <v>0</v>
      </c>
    </row>
    <row r="45" spans="1:3" x14ac:dyDescent="0.3">
      <c r="A45">
        <v>4044</v>
      </c>
      <c r="B45">
        <f>VLOOKUP(A45,'Items List'!B46:C143, 2, FALSE)</f>
        <v>0</v>
      </c>
      <c r="C45">
        <f>SUMIFS(Sheet1!E:E, Sheet1!C:C, A45) - SUMIFS(Sheet1!F:F, Sheet1!C:C, A45)</f>
        <v>0</v>
      </c>
    </row>
    <row r="46" spans="1:3" x14ac:dyDescent="0.3">
      <c r="A46">
        <v>4045</v>
      </c>
      <c r="B46">
        <f>VLOOKUP(A46,'Items List'!B47:C144, 2, FALSE)</f>
        <v>0</v>
      </c>
      <c r="C46">
        <f>SUMIFS(Sheet1!E:E, Sheet1!C:C, A46) - SUMIFS(Sheet1!F:F, Sheet1!C:C, A46)</f>
        <v>0</v>
      </c>
    </row>
    <row r="47" spans="1:3" x14ac:dyDescent="0.3">
      <c r="A47">
        <v>4046</v>
      </c>
      <c r="B47">
        <f>VLOOKUP(A47,'Items List'!B48:C145, 2, FALSE)</f>
        <v>0</v>
      </c>
      <c r="C47">
        <f>SUMIFS(Sheet1!E:E, Sheet1!C:C, A47) - SUMIFS(Sheet1!F:F, Sheet1!C:C, A47)</f>
        <v>0</v>
      </c>
    </row>
    <row r="48" spans="1:3" x14ac:dyDescent="0.3">
      <c r="A48">
        <v>4047</v>
      </c>
      <c r="B48">
        <f>VLOOKUP(A48,'Items List'!B49:C146, 2, FALSE)</f>
        <v>0</v>
      </c>
      <c r="C48">
        <f>SUMIFS(Sheet1!E:E, Sheet1!C:C, A48) - SUMIFS(Sheet1!F:F, Sheet1!C:C, A48)</f>
        <v>0</v>
      </c>
    </row>
    <row r="49" spans="1:3" x14ac:dyDescent="0.3">
      <c r="A49">
        <v>4048</v>
      </c>
      <c r="B49">
        <f>VLOOKUP(A49,'Items List'!B50:C147, 2, FALSE)</f>
        <v>0</v>
      </c>
      <c r="C49">
        <f>SUMIFS(Sheet1!E:E, Sheet1!C:C, A49) - SUMIFS(Sheet1!F:F, Sheet1!C:C, A49)</f>
        <v>0</v>
      </c>
    </row>
    <row r="50" spans="1:3" x14ac:dyDescent="0.3">
      <c r="A50">
        <v>4049</v>
      </c>
      <c r="B50">
        <f>VLOOKUP(A50,'Items List'!B51:C148, 2, FALSE)</f>
        <v>0</v>
      </c>
      <c r="C50">
        <f>SUMIFS(Sheet1!E:E, Sheet1!C:C, A50) - SUMIFS(Sheet1!F:F, Sheet1!C:C, A50)</f>
        <v>0</v>
      </c>
    </row>
    <row r="51" spans="1:3" x14ac:dyDescent="0.3">
      <c r="A51">
        <v>4050</v>
      </c>
      <c r="B51">
        <f>VLOOKUP(A51,'Items List'!B52:C149, 2, FALSE)</f>
        <v>0</v>
      </c>
      <c r="C51">
        <f>SUMIFS(Sheet1!E:E, Sheet1!C:C, A51) - SUMIFS(Sheet1!F:F, Sheet1!C:C, A51)</f>
        <v>0</v>
      </c>
    </row>
    <row r="52" spans="1:3" x14ac:dyDescent="0.3">
      <c r="A52">
        <v>0</v>
      </c>
      <c r="B52" t="e">
        <f>VLOOKUP(A52,'Items List'!B53:C150, 2, FALSE)</f>
        <v>#N/A</v>
      </c>
      <c r="C52">
        <f>SUMIFS(Sheet1!E:E, Sheet1!C:C, A52) - SUMIFS(Sheet1!F:F, Sheet1!C:C, A52)</f>
        <v>0</v>
      </c>
    </row>
    <row r="53" spans="1:3" x14ac:dyDescent="0.3">
      <c r="A53">
        <v>0</v>
      </c>
      <c r="B53" t="e">
        <f>VLOOKUP(A53,'Items List'!B54:C151, 2, FALSE)</f>
        <v>#N/A</v>
      </c>
      <c r="C53">
        <f>SUMIFS(Sheet1!E:E, Sheet1!C:C, A53) - SUMIFS(Sheet1!F:F, Sheet1!C:C, A53)</f>
        <v>0</v>
      </c>
    </row>
    <row r="54" spans="1:3" x14ac:dyDescent="0.3">
      <c r="A54">
        <v>0</v>
      </c>
      <c r="B54" t="e">
        <f>VLOOKUP(A54,'Items List'!B55:C152, 2, FALSE)</f>
        <v>#N/A</v>
      </c>
      <c r="C54">
        <f>SUMIFS(Sheet1!E:E, Sheet1!C:C, A54) - SUMIFS(Sheet1!F:F, Sheet1!C:C, A54)</f>
        <v>0</v>
      </c>
    </row>
    <row r="55" spans="1:3" x14ac:dyDescent="0.3">
      <c r="A55">
        <v>0</v>
      </c>
      <c r="B55" t="e">
        <f>VLOOKUP(A55,'Items List'!B56:C153, 2, FALSE)</f>
        <v>#N/A</v>
      </c>
      <c r="C55">
        <f>SUMIFS(Sheet1!E:E, Sheet1!C:C, A55) - SUMIFS(Sheet1!F:F, Sheet1!C:C, A55)</f>
        <v>0</v>
      </c>
    </row>
    <row r="56" spans="1:3" x14ac:dyDescent="0.3">
      <c r="A56">
        <v>0</v>
      </c>
      <c r="B56" t="e">
        <f>VLOOKUP(A56,'Items List'!B57:C154, 2, FALSE)</f>
        <v>#N/A</v>
      </c>
      <c r="C56">
        <f>SUMIFS(Sheet1!E:E, Sheet1!C:C, A56) - SUMIFS(Sheet1!F:F, Sheet1!C:C, A56)</f>
        <v>0</v>
      </c>
    </row>
    <row r="57" spans="1:3" x14ac:dyDescent="0.3">
      <c r="A57">
        <v>0</v>
      </c>
      <c r="B57" t="e">
        <f>VLOOKUP(A57,'Items List'!B58:C155, 2, FALSE)</f>
        <v>#N/A</v>
      </c>
      <c r="C57">
        <f>SUMIFS(Sheet1!E:E, Sheet1!C:C, A57) - SUMIFS(Sheet1!F:F, Sheet1!C:C, A57)</f>
        <v>0</v>
      </c>
    </row>
    <row r="58" spans="1:3" x14ac:dyDescent="0.3">
      <c r="A58">
        <v>0</v>
      </c>
      <c r="B58" t="e">
        <f>VLOOKUP(A58,'Items List'!B59:C156, 2, FALSE)</f>
        <v>#N/A</v>
      </c>
      <c r="C58">
        <f>SUMIFS(Sheet1!E:E, Sheet1!C:C, A58) - SUMIFS(Sheet1!F:F, Sheet1!C:C, A58)</f>
        <v>0</v>
      </c>
    </row>
    <row r="59" spans="1:3" x14ac:dyDescent="0.3">
      <c r="A59">
        <v>0</v>
      </c>
      <c r="B59" t="e">
        <f>VLOOKUP(A59,'Items List'!B60:C157, 2, FALSE)</f>
        <v>#N/A</v>
      </c>
      <c r="C59">
        <f>SUMIFS(Sheet1!E:E, Sheet1!C:C, A59) - SUMIFS(Sheet1!F:F, Sheet1!C:C, A59)</f>
        <v>0</v>
      </c>
    </row>
    <row r="60" spans="1:3" x14ac:dyDescent="0.3">
      <c r="A60">
        <v>0</v>
      </c>
      <c r="B60" t="e">
        <f>VLOOKUP(A60,'Items List'!B61:C158, 2, FALSE)</f>
        <v>#N/A</v>
      </c>
      <c r="C60">
        <f>SUMIFS(Sheet1!E:E, Sheet1!C:C, A60) - SUMIFS(Sheet1!F:F, Sheet1!C:C, A60)</f>
        <v>0</v>
      </c>
    </row>
    <row r="61" spans="1:3" x14ac:dyDescent="0.3">
      <c r="A61">
        <v>0</v>
      </c>
      <c r="B61" t="e">
        <f>VLOOKUP(A61,'Items List'!B62:C159, 2, FALSE)</f>
        <v>#N/A</v>
      </c>
      <c r="C61">
        <f>SUMIFS(Sheet1!E:E, Sheet1!C:C, A61) - SUMIFS(Sheet1!F:F, Sheet1!C:C, A61)</f>
        <v>0</v>
      </c>
    </row>
    <row r="62" spans="1:3" x14ac:dyDescent="0.3">
      <c r="A62">
        <v>0</v>
      </c>
      <c r="B62" t="e">
        <f>VLOOKUP(A62,'Items List'!B63:C160, 2, FALSE)</f>
        <v>#N/A</v>
      </c>
      <c r="C62">
        <f>SUMIFS(Sheet1!E:E, Sheet1!C:C, A62) - SUMIFS(Sheet1!F:F, Sheet1!C:C, A62)</f>
        <v>0</v>
      </c>
    </row>
    <row r="63" spans="1:3" x14ac:dyDescent="0.3">
      <c r="A63">
        <v>0</v>
      </c>
      <c r="B63" t="e">
        <f>VLOOKUP(A63,'Items List'!B64:C161, 2, FALSE)</f>
        <v>#N/A</v>
      </c>
      <c r="C63">
        <f>SUMIFS(Sheet1!E:E, Sheet1!C:C, A63) - SUMIFS(Sheet1!F:F, Sheet1!C:C, A63)</f>
        <v>0</v>
      </c>
    </row>
    <row r="64" spans="1:3" x14ac:dyDescent="0.3">
      <c r="A64">
        <v>0</v>
      </c>
      <c r="B64" t="e">
        <f>VLOOKUP(A64,'Items List'!B65:C162, 2, FALSE)</f>
        <v>#N/A</v>
      </c>
      <c r="C64">
        <f>SUMIFS(Sheet1!E:E, Sheet1!C:C, A64) - SUMIFS(Sheet1!F:F, Sheet1!C:C, A64)</f>
        <v>0</v>
      </c>
    </row>
    <row r="65" spans="1:3" x14ac:dyDescent="0.3">
      <c r="A65">
        <v>0</v>
      </c>
      <c r="B65" t="e">
        <f>VLOOKUP(A65,'Items List'!B66:C163, 2, FALSE)</f>
        <v>#N/A</v>
      </c>
      <c r="C65">
        <f>SUMIFS(Sheet1!E:E, Sheet1!C:C, A65) - SUMIFS(Sheet1!F:F, Sheet1!C:C, A65)</f>
        <v>0</v>
      </c>
    </row>
    <row r="66" spans="1:3" x14ac:dyDescent="0.3">
      <c r="A66">
        <v>0</v>
      </c>
      <c r="B66" t="e">
        <f>VLOOKUP(A66,'Items List'!B67:C164, 2, FALSE)</f>
        <v>#N/A</v>
      </c>
      <c r="C66">
        <f>SUMIFS(Sheet1!E:E, Sheet1!C:C, A66) - SUMIFS(Sheet1!F:F, Sheet1!C:C, A66)</f>
        <v>0</v>
      </c>
    </row>
    <row r="67" spans="1:3" x14ac:dyDescent="0.3">
      <c r="A67">
        <v>0</v>
      </c>
      <c r="B67" t="e">
        <f>VLOOKUP(A67,'Items List'!B68:C165, 2, FALSE)</f>
        <v>#N/A</v>
      </c>
      <c r="C67">
        <f>SUMIFS(Sheet1!E:E, Sheet1!C:C, A67) - SUMIFS(Sheet1!F:F, Sheet1!C:C, A67)</f>
        <v>0</v>
      </c>
    </row>
    <row r="68" spans="1:3" x14ac:dyDescent="0.3">
      <c r="A68">
        <v>0</v>
      </c>
      <c r="B68" t="e">
        <f>VLOOKUP(A68,'Items List'!B69:C166, 2, FALSE)</f>
        <v>#N/A</v>
      </c>
      <c r="C68">
        <f>SUMIFS(Sheet1!E:E, Sheet1!C:C, A68) - SUMIFS(Sheet1!F:F, Sheet1!C:C, A68)</f>
        <v>0</v>
      </c>
    </row>
    <row r="69" spans="1:3" x14ac:dyDescent="0.3">
      <c r="A69">
        <v>0</v>
      </c>
      <c r="B69" t="e">
        <f>VLOOKUP(A69,'Items List'!B70:C167, 2, FALSE)</f>
        <v>#N/A</v>
      </c>
      <c r="C69">
        <f>SUMIFS(Sheet1!E:E, Sheet1!C:C, A69) - SUMIFS(Sheet1!F:F, Sheet1!C:C, A69)</f>
        <v>0</v>
      </c>
    </row>
    <row r="70" spans="1:3" x14ac:dyDescent="0.3">
      <c r="A70">
        <v>0</v>
      </c>
      <c r="B70" t="e">
        <f>VLOOKUP(A70,'Items List'!B71:C168, 2, FALSE)</f>
        <v>#N/A</v>
      </c>
      <c r="C70">
        <f>SUMIFS(Sheet1!E:E, Sheet1!C:C, A70) - SUMIFS(Sheet1!F:F, Sheet1!C:C, A70)</f>
        <v>0</v>
      </c>
    </row>
    <row r="71" spans="1:3" x14ac:dyDescent="0.3">
      <c r="A71">
        <v>0</v>
      </c>
      <c r="B71" t="e">
        <f>VLOOKUP(A71,'Items List'!B72:C169, 2, FALSE)</f>
        <v>#N/A</v>
      </c>
      <c r="C71">
        <f>SUMIFS(Sheet1!E:E, Sheet1!C:C, A71) - SUMIFS(Sheet1!F:F, Sheet1!C:C, A71)</f>
        <v>0</v>
      </c>
    </row>
    <row r="72" spans="1:3" x14ac:dyDescent="0.3">
      <c r="A72">
        <v>0</v>
      </c>
      <c r="B72" t="e">
        <f>VLOOKUP(A72,'Items List'!B73:C170, 2, FALSE)</f>
        <v>#N/A</v>
      </c>
      <c r="C72">
        <f>SUMIFS(Sheet1!E:E, Sheet1!C:C, A72) - SUMIFS(Sheet1!F:F, Sheet1!C:C, A72)</f>
        <v>0</v>
      </c>
    </row>
    <row r="73" spans="1:3" x14ac:dyDescent="0.3">
      <c r="A73">
        <v>0</v>
      </c>
      <c r="B73" t="e">
        <f>VLOOKUP(A73,'Items List'!B74:C171, 2, FALSE)</f>
        <v>#N/A</v>
      </c>
      <c r="C73">
        <f>SUMIFS(Sheet1!E:E, Sheet1!C:C, A73) - SUMIFS(Sheet1!F:F, Sheet1!C:C, A73)</f>
        <v>0</v>
      </c>
    </row>
    <row r="74" spans="1:3" x14ac:dyDescent="0.3">
      <c r="A74">
        <v>0</v>
      </c>
      <c r="B74" t="e">
        <f>VLOOKUP(A74,'Items List'!B75:C172, 2, FALSE)</f>
        <v>#N/A</v>
      </c>
      <c r="C74">
        <f>SUMIFS(Sheet1!E:E, Sheet1!C:C, A74) - SUMIFS(Sheet1!F:F, Sheet1!C:C, A74)</f>
        <v>0</v>
      </c>
    </row>
    <row r="75" spans="1:3" x14ac:dyDescent="0.3">
      <c r="A75">
        <v>0</v>
      </c>
      <c r="B75" t="e">
        <f>VLOOKUP(A75,'Items List'!B76:C173, 2, FALSE)</f>
        <v>#N/A</v>
      </c>
      <c r="C75">
        <f>SUMIFS(Sheet1!E:E, Sheet1!C:C, A75) - SUMIFS(Sheet1!F:F, Sheet1!C:C, A75)</f>
        <v>0</v>
      </c>
    </row>
    <row r="76" spans="1:3" x14ac:dyDescent="0.3">
      <c r="A76">
        <v>0</v>
      </c>
      <c r="B76" t="e">
        <f>VLOOKUP(A76,'Items List'!B77:C174, 2, FALSE)</f>
        <v>#N/A</v>
      </c>
      <c r="C76">
        <f>SUMIFS(Sheet1!E:E, Sheet1!C:C, A76) - SUMIFS(Sheet1!F:F, Sheet1!C:C, A76)</f>
        <v>0</v>
      </c>
    </row>
    <row r="77" spans="1:3" x14ac:dyDescent="0.3">
      <c r="A77">
        <v>0</v>
      </c>
      <c r="B77" t="e">
        <f>VLOOKUP(A77,'Items List'!B78:C175, 2, FALSE)</f>
        <v>#N/A</v>
      </c>
      <c r="C77">
        <f>SUMIFS(Sheet1!E:E, Sheet1!C:C, A77) - SUMIFS(Sheet1!F:F, Sheet1!C:C, A77)</f>
        <v>0</v>
      </c>
    </row>
    <row r="78" spans="1:3" x14ac:dyDescent="0.3">
      <c r="A78">
        <v>0</v>
      </c>
      <c r="B78" t="e">
        <f>VLOOKUP(A78,'Items List'!B79:C176, 2, FALSE)</f>
        <v>#N/A</v>
      </c>
      <c r="C78">
        <f>SUMIFS(Sheet1!E:E, Sheet1!C:C, A78) - SUMIFS(Sheet1!F:F, Sheet1!C:C, A78)</f>
        <v>0</v>
      </c>
    </row>
    <row r="79" spans="1:3" x14ac:dyDescent="0.3">
      <c r="A79">
        <v>0</v>
      </c>
      <c r="B79" t="e">
        <f>VLOOKUP(A79,'Items List'!B80:C177, 2, FALSE)</f>
        <v>#N/A</v>
      </c>
      <c r="C79">
        <f>SUMIFS(Sheet1!E:E, Sheet1!C:C, A79) - SUMIFS(Sheet1!F:F, Sheet1!C:C, A79)</f>
        <v>0</v>
      </c>
    </row>
    <row r="80" spans="1:3" x14ac:dyDescent="0.3">
      <c r="A80">
        <v>0</v>
      </c>
      <c r="B80" t="e">
        <f>VLOOKUP(A80,'Items List'!B81:C178, 2, FALSE)</f>
        <v>#N/A</v>
      </c>
      <c r="C80">
        <f>SUMIFS(Sheet1!E:E, Sheet1!C:C, A80) - SUMIFS(Sheet1!F:F, Sheet1!C:C, A80)</f>
        <v>0</v>
      </c>
    </row>
    <row r="81" spans="1:3" x14ac:dyDescent="0.3">
      <c r="A81">
        <v>0</v>
      </c>
      <c r="B81" t="e">
        <f>VLOOKUP(A81,'Items List'!B82:C179, 2, FALSE)</f>
        <v>#N/A</v>
      </c>
      <c r="C81">
        <f>SUMIFS(Sheet1!E:E, Sheet1!C:C, A81) - SUMIFS(Sheet1!F:F, Sheet1!C:C, A81)</f>
        <v>0</v>
      </c>
    </row>
    <row r="82" spans="1:3" x14ac:dyDescent="0.3">
      <c r="A82">
        <v>0</v>
      </c>
      <c r="B82" t="e">
        <f>VLOOKUP(A82,'Items List'!B83:C180, 2, FALSE)</f>
        <v>#N/A</v>
      </c>
      <c r="C82">
        <f>SUMIFS(Sheet1!E:E, Sheet1!C:C, A82) - SUMIFS(Sheet1!F:F, Sheet1!C:C, A82)</f>
        <v>0</v>
      </c>
    </row>
    <row r="83" spans="1:3" x14ac:dyDescent="0.3">
      <c r="A83">
        <v>0</v>
      </c>
      <c r="B83" t="e">
        <f>VLOOKUP(A83,'Items List'!B84:C181, 2, FALSE)</f>
        <v>#N/A</v>
      </c>
      <c r="C83">
        <f>SUMIFS(Sheet1!E:E, Sheet1!C:C, A83) - SUMIFS(Sheet1!F:F, Sheet1!C:C, A83)</f>
        <v>0</v>
      </c>
    </row>
    <row r="84" spans="1:3" x14ac:dyDescent="0.3">
      <c r="A84">
        <v>0</v>
      </c>
      <c r="B84" t="e">
        <f>VLOOKUP(A84,'Items List'!B85:C182, 2, FALSE)</f>
        <v>#N/A</v>
      </c>
      <c r="C84">
        <f>SUMIFS(Sheet1!E:E, Sheet1!C:C, A84) - SUMIFS(Sheet1!F:F, Sheet1!C:C, A84)</f>
        <v>0</v>
      </c>
    </row>
    <row r="85" spans="1:3" x14ac:dyDescent="0.3">
      <c r="A85">
        <v>0</v>
      </c>
      <c r="B85" t="e">
        <f>VLOOKUP(A85,'Items List'!B86:C183, 2, FALSE)</f>
        <v>#N/A</v>
      </c>
      <c r="C85">
        <f>SUMIFS(Sheet1!E:E, Sheet1!C:C, A85) - SUMIFS(Sheet1!F:F, Sheet1!C:C, A85)</f>
        <v>0</v>
      </c>
    </row>
    <row r="86" spans="1:3" x14ac:dyDescent="0.3">
      <c r="A86">
        <v>0</v>
      </c>
      <c r="B86" t="e">
        <f>VLOOKUP(A86,'Items List'!B87:C184, 2, FALSE)</f>
        <v>#N/A</v>
      </c>
      <c r="C86">
        <f>SUMIFS(Sheet1!E:E, Sheet1!C:C, A86) - SUMIFS(Sheet1!F:F, Sheet1!C:C, A86)</f>
        <v>0</v>
      </c>
    </row>
    <row r="87" spans="1:3" x14ac:dyDescent="0.3">
      <c r="A87">
        <v>0</v>
      </c>
      <c r="B87" t="e">
        <f>VLOOKUP(A87,'Items List'!B88:C185, 2, FALSE)</f>
        <v>#N/A</v>
      </c>
      <c r="C87">
        <f>SUMIFS(Sheet1!E:E, Sheet1!C:C, A87) - SUMIFS(Sheet1!F:F, Sheet1!C:C, A87)</f>
        <v>0</v>
      </c>
    </row>
    <row r="88" spans="1:3" x14ac:dyDescent="0.3">
      <c r="A88">
        <v>0</v>
      </c>
      <c r="B88" t="e">
        <f>VLOOKUP(A88,'Items List'!B89:C186, 2, FALSE)</f>
        <v>#N/A</v>
      </c>
      <c r="C88">
        <f>SUMIFS(Sheet1!E:E, Sheet1!C:C, A88) - SUMIFS(Sheet1!F:F, Sheet1!C:C, A88)</f>
        <v>0</v>
      </c>
    </row>
    <row r="89" spans="1:3" x14ac:dyDescent="0.3">
      <c r="A89">
        <v>0</v>
      </c>
      <c r="B89" t="e">
        <f>VLOOKUP(A89,'Items List'!B90:C187, 2, FALSE)</f>
        <v>#N/A</v>
      </c>
      <c r="C89">
        <f>SUMIFS(Sheet1!E:E, Sheet1!C:C, A89) - SUMIFS(Sheet1!F:F, Sheet1!C:C, A89)</f>
        <v>0</v>
      </c>
    </row>
    <row r="90" spans="1:3" x14ac:dyDescent="0.3">
      <c r="A90">
        <v>0</v>
      </c>
      <c r="B90" t="e">
        <f>VLOOKUP(A90,'Items List'!B91:C188, 2, FALSE)</f>
        <v>#N/A</v>
      </c>
      <c r="C90">
        <f>SUMIFS(Sheet1!E:E, Sheet1!C:C, A90) - SUMIFS(Sheet1!F:F, Sheet1!C:C, A90)</f>
        <v>0</v>
      </c>
    </row>
    <row r="91" spans="1:3" x14ac:dyDescent="0.3">
      <c r="A91">
        <v>0</v>
      </c>
      <c r="B91" t="e">
        <f>VLOOKUP(A91,'Items List'!B92:C189, 2, FALSE)</f>
        <v>#N/A</v>
      </c>
      <c r="C91">
        <f>SUMIFS(Sheet1!E:E, Sheet1!C:C, A91) - SUMIFS(Sheet1!F:F, Sheet1!C:C, A91)</f>
        <v>0</v>
      </c>
    </row>
    <row r="92" spans="1:3" x14ac:dyDescent="0.3">
      <c r="A92">
        <v>0</v>
      </c>
      <c r="B92" t="e">
        <f>VLOOKUP(A92,'Items List'!B93:C190, 2, FALSE)</f>
        <v>#N/A</v>
      </c>
      <c r="C92">
        <f>SUMIFS(Sheet1!E:E, Sheet1!C:C, A92) - SUMIFS(Sheet1!F:F, Sheet1!C:C, A92)</f>
        <v>0</v>
      </c>
    </row>
    <row r="93" spans="1:3" x14ac:dyDescent="0.3">
      <c r="A93">
        <v>0</v>
      </c>
      <c r="B93" t="e">
        <f>VLOOKUP(A93,'Items List'!B94:C191, 2, FALSE)</f>
        <v>#N/A</v>
      </c>
      <c r="C93">
        <f>SUMIFS(Sheet1!E:E, Sheet1!C:C, A93) - SUMIFS(Sheet1!F:F, Sheet1!C:C, A93)</f>
        <v>0</v>
      </c>
    </row>
    <row r="94" spans="1:3" x14ac:dyDescent="0.3">
      <c r="A94">
        <v>0</v>
      </c>
      <c r="B94" t="e">
        <f>VLOOKUP(A94,'Items List'!B95:C192, 2, FALSE)</f>
        <v>#N/A</v>
      </c>
      <c r="C94">
        <f>SUMIFS(Sheet1!E:E, Sheet1!C:C, A94) - SUMIFS(Sheet1!F:F, Sheet1!C:C, A94)</f>
        <v>0</v>
      </c>
    </row>
    <row r="95" spans="1:3" x14ac:dyDescent="0.3">
      <c r="A95">
        <v>0</v>
      </c>
      <c r="B95" t="e">
        <f>VLOOKUP(A95,'Items List'!B96:C193, 2, FALSE)</f>
        <v>#N/A</v>
      </c>
      <c r="C95">
        <f>SUMIFS(Sheet1!E:E, Sheet1!C:C, A95) - SUMIFS(Sheet1!F:F, Sheet1!C:C, A95)</f>
        <v>0</v>
      </c>
    </row>
    <row r="96" spans="1:3" x14ac:dyDescent="0.3">
      <c r="A96">
        <v>0</v>
      </c>
      <c r="B96" t="e">
        <f>VLOOKUP(A96,'Items List'!B97:C194, 2, FALSE)</f>
        <v>#N/A</v>
      </c>
      <c r="C96">
        <f>SUMIFS(Sheet1!E:E, Sheet1!C:C, A96) - SUMIFS(Sheet1!F:F, Sheet1!C:C, A96)</f>
        <v>0</v>
      </c>
    </row>
    <row r="97" spans="1:3" x14ac:dyDescent="0.3">
      <c r="A97">
        <v>0</v>
      </c>
      <c r="B97" t="e">
        <f>VLOOKUP(A97,'Items List'!B98:C195, 2, FALSE)</f>
        <v>#N/A</v>
      </c>
      <c r="C97">
        <f>SUMIFS(Sheet1!E:E, Sheet1!C:C, A97) - SUMIFS(Sheet1!F:F, Sheet1!C:C, A97)</f>
        <v>0</v>
      </c>
    </row>
    <row r="98" spans="1:3" x14ac:dyDescent="0.3">
      <c r="A98">
        <v>0</v>
      </c>
      <c r="B98" t="e">
        <f>VLOOKUP(A98,'Items List'!B99:C196, 2, FALSE)</f>
        <v>#N/A</v>
      </c>
      <c r="C98">
        <f>SUMIFS(Sheet1!E:E, Sheet1!C:C, A98) - SUMIFS(Sheet1!F:F, Sheet1!C:C, A98)</f>
        <v>0</v>
      </c>
    </row>
    <row r="99" spans="1:3" x14ac:dyDescent="0.3">
      <c r="A99">
        <v>0</v>
      </c>
      <c r="B99" t="e">
        <f>VLOOKUP(A99,'Items List'!B100:C197, 2, FALSE)</f>
        <v>#N/A</v>
      </c>
      <c r="C99">
        <f>SUMIFS(Sheet1!E:E, Sheet1!C:C, A99) - SUMIFS(Sheet1!F:F, Sheet1!C:C, A99)</f>
        <v>0</v>
      </c>
    </row>
    <row r="100" spans="1:3" x14ac:dyDescent="0.3">
      <c r="A100">
        <v>0</v>
      </c>
      <c r="B100" t="e">
        <f>VLOOKUP(A100,'Items List'!B101:C198, 2, FALSE)</f>
        <v>#N/A</v>
      </c>
      <c r="C100">
        <f>SUMIFS(Sheet1!E:E, Sheet1!C:C, A100) - SUMIFS(Sheet1!F:F, Sheet1!C:C, A100)</f>
        <v>0</v>
      </c>
    </row>
    <row r="101" spans="1:3" x14ac:dyDescent="0.3">
      <c r="A101">
        <v>0</v>
      </c>
      <c r="B101" t="e">
        <f>VLOOKUP(A101,'Items List'!B102:C199, 2, FALSE)</f>
        <v>#N/A</v>
      </c>
      <c r="C101">
        <f>SUMIFS(Sheet1!E:E, Sheet1!C:C, A101) - SUMIFS(Sheet1!F:F, Sheet1!C:C, A101)</f>
        <v>0</v>
      </c>
    </row>
    <row r="102" spans="1:3" x14ac:dyDescent="0.3">
      <c r="A102">
        <v>0</v>
      </c>
      <c r="B102" t="e">
        <f>VLOOKUP(A102,'Items List'!B103:C200, 2, FALSE)</f>
        <v>#N/A</v>
      </c>
      <c r="C102">
        <f>SUMIFS(Sheet1!E:E, Sheet1!C:C, A102) - SUMIFS(Sheet1!F:F, Sheet1!C:C, A102)</f>
        <v>0</v>
      </c>
    </row>
    <row r="103" spans="1:3" x14ac:dyDescent="0.3">
      <c r="A103">
        <v>0</v>
      </c>
      <c r="B103" t="e">
        <f>VLOOKUP(A103,'Items List'!B104:C201, 2, FALSE)</f>
        <v>#N/A</v>
      </c>
      <c r="C103">
        <f>SUMIFS(Sheet1!E:E, Sheet1!C:C, A103) - SUMIFS(Sheet1!F:F, Sheet1!C:C, A103)</f>
        <v>0</v>
      </c>
    </row>
    <row r="104" spans="1:3" x14ac:dyDescent="0.3">
      <c r="A104">
        <v>0</v>
      </c>
      <c r="B104" t="e">
        <f>VLOOKUP(A104,'Items List'!B105:C202, 2, FALSE)</f>
        <v>#N/A</v>
      </c>
      <c r="C104">
        <f>SUMIFS(Sheet1!E:E, Sheet1!C:C, A104) - SUMIFS(Sheet1!F:F, Sheet1!C:C, A104)</f>
        <v>0</v>
      </c>
    </row>
    <row r="105" spans="1:3" x14ac:dyDescent="0.3">
      <c r="A105">
        <v>0</v>
      </c>
      <c r="B105" t="e">
        <f>VLOOKUP(A105,'Items List'!B106:C203, 2, FALSE)</f>
        <v>#N/A</v>
      </c>
      <c r="C105">
        <f>SUMIFS(Sheet1!E:E, Sheet1!C:C, A105) - SUMIFS(Sheet1!F:F, Sheet1!C:C, A105)</f>
        <v>0</v>
      </c>
    </row>
    <row r="106" spans="1:3" x14ac:dyDescent="0.3">
      <c r="A106">
        <v>0</v>
      </c>
      <c r="B106" t="e">
        <f>VLOOKUP(A106,'Items List'!B107:C204, 2, FALSE)</f>
        <v>#N/A</v>
      </c>
      <c r="C106">
        <f>SUMIFS(Sheet1!E:E, Sheet1!C:C, A106) - SUMIFS(Sheet1!F:F, Sheet1!C:C, A106)</f>
        <v>0</v>
      </c>
    </row>
    <row r="107" spans="1:3" x14ac:dyDescent="0.3">
      <c r="A107">
        <v>0</v>
      </c>
      <c r="B107" t="e">
        <f>VLOOKUP(A107,'Items List'!B108:C205, 2, FALSE)</f>
        <v>#N/A</v>
      </c>
      <c r="C107">
        <f>SUMIFS(Sheet1!E:E, Sheet1!C:C, A107) - SUMIFS(Sheet1!F:F, Sheet1!C:C, A107)</f>
        <v>0</v>
      </c>
    </row>
    <row r="108" spans="1:3" x14ac:dyDescent="0.3">
      <c r="A108">
        <v>0</v>
      </c>
      <c r="B108" t="e">
        <f>VLOOKUP(A108,'Items List'!B109:C206, 2, FALSE)</f>
        <v>#N/A</v>
      </c>
      <c r="C108">
        <f>SUMIFS(Sheet1!E:E, Sheet1!C:C, A108) - SUMIFS(Sheet1!F:F, Sheet1!C:C, A108)</f>
        <v>0</v>
      </c>
    </row>
    <row r="109" spans="1:3" x14ac:dyDescent="0.3">
      <c r="A109">
        <v>0</v>
      </c>
      <c r="B109" t="e">
        <f>VLOOKUP(A109,'Items List'!B110:C207, 2, FALSE)</f>
        <v>#N/A</v>
      </c>
      <c r="C109">
        <f>SUMIFS(Sheet1!E:E, Sheet1!C:C, A109) - SUMIFS(Sheet1!F:F, Sheet1!C:C, A109)</f>
        <v>0</v>
      </c>
    </row>
    <row r="110" spans="1:3" x14ac:dyDescent="0.3">
      <c r="A110">
        <v>0</v>
      </c>
      <c r="B110" t="e">
        <f>VLOOKUP(A110,'Items List'!B111:C208, 2, FALSE)</f>
        <v>#N/A</v>
      </c>
      <c r="C110">
        <f>SUMIFS(Sheet1!E:E, Sheet1!C:C, A110) - SUMIFS(Sheet1!F:F, Sheet1!C:C, A110)</f>
        <v>0</v>
      </c>
    </row>
    <row r="111" spans="1:3" x14ac:dyDescent="0.3">
      <c r="A111">
        <v>0</v>
      </c>
      <c r="B111" t="e">
        <f>VLOOKUP(A111,'Items List'!B112:C209, 2, FALSE)</f>
        <v>#N/A</v>
      </c>
      <c r="C111">
        <f>SUMIFS(Sheet1!E:E, Sheet1!C:C, A111) - SUMIFS(Sheet1!F:F, Sheet1!C:C, A111)</f>
        <v>0</v>
      </c>
    </row>
    <row r="112" spans="1:3" x14ac:dyDescent="0.3">
      <c r="A112">
        <v>0</v>
      </c>
      <c r="B112" t="e">
        <f>VLOOKUP(A112,'Items List'!B113:C210, 2, FALSE)</f>
        <v>#N/A</v>
      </c>
      <c r="C112">
        <f>SUMIFS(Sheet1!E:E, Sheet1!C:C, A112) - SUMIFS(Sheet1!F:F, Sheet1!C:C, A112)</f>
        <v>0</v>
      </c>
    </row>
    <row r="113" spans="1:3" x14ac:dyDescent="0.3">
      <c r="A113">
        <v>0</v>
      </c>
      <c r="B113" t="e">
        <f>VLOOKUP(A113,'Items List'!B114:C211, 2, FALSE)</f>
        <v>#N/A</v>
      </c>
      <c r="C113">
        <f>SUMIFS(Sheet1!E:E, Sheet1!C:C, A113) - SUMIFS(Sheet1!F:F, Sheet1!C:C, A113)</f>
        <v>0</v>
      </c>
    </row>
    <row r="114" spans="1:3" x14ac:dyDescent="0.3">
      <c r="A114">
        <v>0</v>
      </c>
      <c r="B114" t="e">
        <f>VLOOKUP(A114,'Items List'!B115:C212, 2, FALSE)</f>
        <v>#N/A</v>
      </c>
      <c r="C114">
        <f>SUMIFS(Sheet1!E:E, Sheet1!C:C, A114) - SUMIFS(Sheet1!F:F, Sheet1!C:C, A114)</f>
        <v>0</v>
      </c>
    </row>
    <row r="115" spans="1:3" x14ac:dyDescent="0.3">
      <c r="A115">
        <v>0</v>
      </c>
      <c r="B115" t="e">
        <f>VLOOKUP(A115,'Items List'!B116:C213, 2, FALSE)</f>
        <v>#N/A</v>
      </c>
      <c r="C115">
        <f>SUMIFS(Sheet1!E:E, Sheet1!C:C, A115) - SUMIFS(Sheet1!F:F, Sheet1!C:C, A115)</f>
        <v>0</v>
      </c>
    </row>
    <row r="116" spans="1:3" x14ac:dyDescent="0.3">
      <c r="A116">
        <v>0</v>
      </c>
      <c r="B116" t="e">
        <f>VLOOKUP(A116,'Items List'!B117:C214, 2, FALSE)</f>
        <v>#N/A</v>
      </c>
      <c r="C116">
        <f>SUMIFS(Sheet1!E:E, Sheet1!C:C, A116) - SUMIFS(Sheet1!F:F, Sheet1!C:C, A116)</f>
        <v>0</v>
      </c>
    </row>
    <row r="117" spans="1:3" x14ac:dyDescent="0.3">
      <c r="A117">
        <v>0</v>
      </c>
      <c r="B117" t="e">
        <f>VLOOKUP(A117,'Items List'!B118:C215, 2, FALSE)</f>
        <v>#N/A</v>
      </c>
      <c r="C117">
        <f>SUMIFS(Sheet1!E:E, Sheet1!C:C, A117) - SUMIFS(Sheet1!F:F, Sheet1!C:C, A117)</f>
        <v>0</v>
      </c>
    </row>
    <row r="118" spans="1:3" x14ac:dyDescent="0.3">
      <c r="A118">
        <v>0</v>
      </c>
      <c r="B118" t="e">
        <f>VLOOKUP(A118,'Items List'!B119:C216, 2, FALSE)</f>
        <v>#N/A</v>
      </c>
      <c r="C118">
        <f>SUMIFS(Sheet1!E:E, Sheet1!C:C, A118) - SUMIFS(Sheet1!F:F, Sheet1!C:C, A118)</f>
        <v>0</v>
      </c>
    </row>
    <row r="119" spans="1:3" x14ac:dyDescent="0.3">
      <c r="A119">
        <v>0</v>
      </c>
      <c r="B119" t="e">
        <f>VLOOKUP(A119,'Items List'!B120:C217, 2, FALSE)</f>
        <v>#N/A</v>
      </c>
      <c r="C119">
        <f>SUMIFS(Sheet1!E:E, Sheet1!C:C, A119) - SUMIFS(Sheet1!F:F, Sheet1!C:C, A119)</f>
        <v>0</v>
      </c>
    </row>
    <row r="120" spans="1:3" x14ac:dyDescent="0.3">
      <c r="A120">
        <v>0</v>
      </c>
      <c r="B120" t="e">
        <f>VLOOKUP(A120,'Items List'!B121:C218, 2, FALSE)</f>
        <v>#N/A</v>
      </c>
      <c r="C120">
        <f>SUMIFS(Sheet1!E:E, Sheet1!C:C, A120) - SUMIFS(Sheet1!F:F, Sheet1!C:C, A120)</f>
        <v>0</v>
      </c>
    </row>
    <row r="121" spans="1:3" x14ac:dyDescent="0.3">
      <c r="A121">
        <v>0</v>
      </c>
      <c r="B121" t="e">
        <f>VLOOKUP(A121,'Items List'!B122:C219, 2, FALSE)</f>
        <v>#N/A</v>
      </c>
      <c r="C121">
        <f>SUMIFS(Sheet1!E:E, Sheet1!C:C, A121) - SUMIFS(Sheet1!F:F, Sheet1!C:C, A121)</f>
        <v>0</v>
      </c>
    </row>
    <row r="122" spans="1:3" x14ac:dyDescent="0.3">
      <c r="A122">
        <v>0</v>
      </c>
      <c r="B122" t="e">
        <f>VLOOKUP(A122,'Items List'!B123:C220, 2, FALSE)</f>
        <v>#N/A</v>
      </c>
      <c r="C122">
        <f>SUMIFS(Sheet1!E:E, Sheet1!C:C, A122) - SUMIFS(Sheet1!F:F, Sheet1!C:C, A122)</f>
        <v>0</v>
      </c>
    </row>
    <row r="123" spans="1:3" x14ac:dyDescent="0.3">
      <c r="A123">
        <v>0</v>
      </c>
      <c r="B123" t="e">
        <f>VLOOKUP(A123,'Items List'!B124:C221, 2, FALSE)</f>
        <v>#N/A</v>
      </c>
      <c r="C123">
        <f>SUMIFS(Sheet1!E:E, Sheet1!C:C, A123) - SUMIFS(Sheet1!F:F, Sheet1!C:C, A123)</f>
        <v>0</v>
      </c>
    </row>
    <row r="124" spans="1:3" x14ac:dyDescent="0.3">
      <c r="A124">
        <v>0</v>
      </c>
      <c r="B124" t="e">
        <f>VLOOKUP(A124,'Items List'!B125:C222, 2, FALSE)</f>
        <v>#N/A</v>
      </c>
      <c r="C124">
        <f>SUMIFS(Sheet1!E:E, Sheet1!C:C, A124) - SUMIFS(Sheet1!F:F, Sheet1!C:C, A124)</f>
        <v>0</v>
      </c>
    </row>
    <row r="125" spans="1:3" x14ac:dyDescent="0.3">
      <c r="A125">
        <v>0</v>
      </c>
      <c r="B125" t="e">
        <f>VLOOKUP(A125,'Items List'!B126:C223, 2, FALSE)</f>
        <v>#N/A</v>
      </c>
      <c r="C125">
        <f>SUMIFS(Sheet1!E:E, Sheet1!C:C, A125) - SUMIFS(Sheet1!F:F, Sheet1!C:C, A125)</f>
        <v>0</v>
      </c>
    </row>
    <row r="126" spans="1:3" x14ac:dyDescent="0.3">
      <c r="A126">
        <v>0</v>
      </c>
      <c r="B126" t="e">
        <f>VLOOKUP(A126,'Items List'!B127:C224, 2, FALSE)</f>
        <v>#N/A</v>
      </c>
      <c r="C126">
        <f>SUMIFS(Sheet1!E:E, Sheet1!C:C, A126) - SUMIFS(Sheet1!F:F, Sheet1!C:C, A126)</f>
        <v>0</v>
      </c>
    </row>
    <row r="127" spans="1:3" x14ac:dyDescent="0.3">
      <c r="A127">
        <v>0</v>
      </c>
      <c r="B127" t="e">
        <f>VLOOKUP(A127,'Items List'!B128:C225, 2, FALSE)</f>
        <v>#N/A</v>
      </c>
      <c r="C127">
        <f>SUMIFS(Sheet1!E:E, Sheet1!C:C, A127) - SUMIFS(Sheet1!F:F, Sheet1!C:C, A127)</f>
        <v>0</v>
      </c>
    </row>
    <row r="128" spans="1:3" x14ac:dyDescent="0.3">
      <c r="A128">
        <v>0</v>
      </c>
      <c r="B128" t="e">
        <f>VLOOKUP(A128,'Items List'!B129:C226, 2, FALSE)</f>
        <v>#N/A</v>
      </c>
      <c r="C128">
        <f>SUMIFS(Sheet1!E:E, Sheet1!C:C, A128) - SUMIFS(Sheet1!F:F, Sheet1!C:C, A128)</f>
        <v>0</v>
      </c>
    </row>
    <row r="129" spans="1:3" x14ac:dyDescent="0.3">
      <c r="A129">
        <v>0</v>
      </c>
      <c r="B129" t="e">
        <f>VLOOKUP(A129,'Items List'!B130:C227, 2, FALSE)</f>
        <v>#N/A</v>
      </c>
      <c r="C129">
        <f>SUMIFS(Sheet1!E:E, Sheet1!C:C, A129) - SUMIFS(Sheet1!F:F, Sheet1!C:C, A129)</f>
        <v>0</v>
      </c>
    </row>
    <row r="130" spans="1:3" x14ac:dyDescent="0.3">
      <c r="A130">
        <v>0</v>
      </c>
      <c r="B130" t="e">
        <f>VLOOKUP(A130,'Items List'!B131:C228, 2, FALSE)</f>
        <v>#N/A</v>
      </c>
      <c r="C130">
        <f>SUMIFS(Sheet1!E:E, Sheet1!C:C, A130) - SUMIFS(Sheet1!F:F, Sheet1!C:C, A130)</f>
        <v>0</v>
      </c>
    </row>
    <row r="131" spans="1:3" x14ac:dyDescent="0.3">
      <c r="A131">
        <v>0</v>
      </c>
      <c r="B131" t="e">
        <f>VLOOKUP(A131,'Items List'!B132:C229, 2, FALSE)</f>
        <v>#N/A</v>
      </c>
      <c r="C131">
        <f>SUMIFS(Sheet1!E:E, Sheet1!C:C, A131) - SUMIFS(Sheet1!F:F, Sheet1!C:C, A131)</f>
        <v>0</v>
      </c>
    </row>
    <row r="132" spans="1:3" x14ac:dyDescent="0.3">
      <c r="A132">
        <v>0</v>
      </c>
      <c r="B132" t="e">
        <f>VLOOKUP(A132,'Items List'!B133:C230, 2, FALSE)</f>
        <v>#N/A</v>
      </c>
      <c r="C132">
        <f>SUMIFS(Sheet1!E:E, Sheet1!C:C, A132) - SUMIFS(Sheet1!F:F, Sheet1!C:C, A132)</f>
        <v>0</v>
      </c>
    </row>
    <row r="133" spans="1:3" x14ac:dyDescent="0.3">
      <c r="A133">
        <v>0</v>
      </c>
      <c r="B133" t="e">
        <f>VLOOKUP(A133,'Items List'!B134:C231, 2, FALSE)</f>
        <v>#N/A</v>
      </c>
      <c r="C133">
        <f>SUMIFS(Sheet1!E:E, Sheet1!C:C, A133) - SUMIFS(Sheet1!F:F, Sheet1!C:C, A133)</f>
        <v>0</v>
      </c>
    </row>
    <row r="134" spans="1:3" x14ac:dyDescent="0.3">
      <c r="A134">
        <v>0</v>
      </c>
      <c r="B134" t="e">
        <f>VLOOKUP(A134,'Items List'!B135:C232, 2, FALSE)</f>
        <v>#N/A</v>
      </c>
      <c r="C134">
        <f>SUMIFS(Sheet1!E:E, Sheet1!C:C, A134) - SUMIFS(Sheet1!F:F, Sheet1!C:C, A134)</f>
        <v>0</v>
      </c>
    </row>
    <row r="135" spans="1:3" x14ac:dyDescent="0.3">
      <c r="A135">
        <v>0</v>
      </c>
      <c r="B135" t="e">
        <f>VLOOKUP(A135,'Items List'!B136:C233, 2, FALSE)</f>
        <v>#N/A</v>
      </c>
      <c r="C135">
        <f>SUMIFS(Sheet1!E:E, Sheet1!C:C, A135) - SUMIFS(Sheet1!F:F, Sheet1!C:C, A135)</f>
        <v>0</v>
      </c>
    </row>
    <row r="136" spans="1:3" x14ac:dyDescent="0.3">
      <c r="A136">
        <v>0</v>
      </c>
      <c r="B136" t="e">
        <f>VLOOKUP(A136,'Items List'!B137:C234, 2, FALSE)</f>
        <v>#N/A</v>
      </c>
      <c r="C136">
        <f>SUMIFS(Sheet1!E:E, Sheet1!C:C, A136) - SUMIFS(Sheet1!F:F, Sheet1!C:C, A136)</f>
        <v>0</v>
      </c>
    </row>
    <row r="137" spans="1:3" x14ac:dyDescent="0.3">
      <c r="A137">
        <v>0</v>
      </c>
      <c r="B137" t="e">
        <f>VLOOKUP(A137,'Items List'!B138:C235, 2, FALSE)</f>
        <v>#N/A</v>
      </c>
      <c r="C137">
        <f>SUMIFS(Sheet1!E:E, Sheet1!C:C, A137) - SUMIFS(Sheet1!F:F, Sheet1!C:C, A137)</f>
        <v>0</v>
      </c>
    </row>
    <row r="138" spans="1:3" x14ac:dyDescent="0.3">
      <c r="A138">
        <v>0</v>
      </c>
      <c r="B138" t="e">
        <f>VLOOKUP(A138,'Items List'!B139:C236, 2, FALSE)</f>
        <v>#N/A</v>
      </c>
      <c r="C138">
        <f>SUMIFS(Sheet1!E:E, Sheet1!C:C, A138) - SUMIFS(Sheet1!F:F, Sheet1!C:C, A138)</f>
        <v>0</v>
      </c>
    </row>
    <row r="139" spans="1:3" x14ac:dyDescent="0.3">
      <c r="A139">
        <v>0</v>
      </c>
      <c r="B139" t="e">
        <f>VLOOKUP(A139,'Items List'!B140:C237, 2, FALSE)</f>
        <v>#N/A</v>
      </c>
      <c r="C139">
        <f>SUMIFS(Sheet1!E:E, Sheet1!C:C, A139) - SUMIFS(Sheet1!F:F, Sheet1!C:C, A139)</f>
        <v>0</v>
      </c>
    </row>
    <row r="140" spans="1:3" x14ac:dyDescent="0.3">
      <c r="A140">
        <v>0</v>
      </c>
      <c r="B140" t="e">
        <f>VLOOKUP(A140,'Items List'!B141:C238, 2, FALSE)</f>
        <v>#N/A</v>
      </c>
      <c r="C140">
        <f>SUMIFS(Sheet1!E:E, Sheet1!C:C, A140) - SUMIFS(Sheet1!F:F, Sheet1!C:C, A140)</f>
        <v>0</v>
      </c>
    </row>
    <row r="141" spans="1:3" x14ac:dyDescent="0.3">
      <c r="A141">
        <v>0</v>
      </c>
      <c r="B141" t="e">
        <f>VLOOKUP(A141,'Items List'!B142:C239, 2, FALSE)</f>
        <v>#N/A</v>
      </c>
      <c r="C141">
        <f>SUMIFS(Sheet1!E:E, Sheet1!C:C, A141) - SUMIFS(Sheet1!F:F, Sheet1!C:C, A141)</f>
        <v>0</v>
      </c>
    </row>
    <row r="142" spans="1:3" x14ac:dyDescent="0.3">
      <c r="A142">
        <v>0</v>
      </c>
      <c r="B142" t="e">
        <f>VLOOKUP(A142,'Items List'!B143:C240, 2, FALSE)</f>
        <v>#N/A</v>
      </c>
      <c r="C142">
        <f>SUMIFS(Sheet1!E:E, Sheet1!C:C, A142) - SUMIFS(Sheet1!F:F, Sheet1!C:C, A142)</f>
        <v>0</v>
      </c>
    </row>
    <row r="143" spans="1:3" x14ac:dyDescent="0.3">
      <c r="A143">
        <v>0</v>
      </c>
      <c r="B143" t="e">
        <f>VLOOKUP(A143,'Items List'!B144:C241, 2, FALSE)</f>
        <v>#N/A</v>
      </c>
      <c r="C143">
        <f>SUMIFS(Sheet1!E:E, Sheet1!C:C, A143) - SUMIFS(Sheet1!F:F, Sheet1!C:C, A143)</f>
        <v>0</v>
      </c>
    </row>
    <row r="144" spans="1:3" x14ac:dyDescent="0.3">
      <c r="A144">
        <v>0</v>
      </c>
      <c r="B144" t="e">
        <f>VLOOKUP(A144,'Items List'!B145:C242, 2, FALSE)</f>
        <v>#N/A</v>
      </c>
      <c r="C144">
        <f>SUMIFS(Sheet1!E:E, Sheet1!C:C, A144) - SUMIFS(Sheet1!F:F, Sheet1!C:C, A144)</f>
        <v>0</v>
      </c>
    </row>
    <row r="145" spans="1:3" x14ac:dyDescent="0.3">
      <c r="A145">
        <v>0</v>
      </c>
      <c r="B145" t="e">
        <f>VLOOKUP(A145,'Items List'!B146:C243, 2, FALSE)</f>
        <v>#N/A</v>
      </c>
      <c r="C145">
        <f>SUMIFS(Sheet1!E:E, Sheet1!C:C, A145) - SUMIFS(Sheet1!F:F, Sheet1!C:C, A145)</f>
        <v>0</v>
      </c>
    </row>
    <row r="146" spans="1:3" x14ac:dyDescent="0.3">
      <c r="A146">
        <v>0</v>
      </c>
      <c r="B146" t="e">
        <f>VLOOKUP(A146,'Items List'!B147:C244, 2, FALSE)</f>
        <v>#N/A</v>
      </c>
      <c r="C146">
        <f>SUMIFS(Sheet1!E:E, Sheet1!C:C, A146) - SUMIFS(Sheet1!F:F, Sheet1!C:C, A146)</f>
        <v>0</v>
      </c>
    </row>
    <row r="147" spans="1:3" x14ac:dyDescent="0.3">
      <c r="A147">
        <v>0</v>
      </c>
      <c r="B147" t="e">
        <f>VLOOKUP(A147,'Items List'!B148:C245, 2, FALSE)</f>
        <v>#N/A</v>
      </c>
      <c r="C147">
        <f>SUMIFS(Sheet1!E:E, Sheet1!C:C, A147) - SUMIFS(Sheet1!F:F, Sheet1!C:C, A147)</f>
        <v>0</v>
      </c>
    </row>
    <row r="148" spans="1:3" x14ac:dyDescent="0.3">
      <c r="A148">
        <v>0</v>
      </c>
      <c r="B148" t="e">
        <f>VLOOKUP(A148,'Items List'!B149:C246, 2, FALSE)</f>
        <v>#N/A</v>
      </c>
      <c r="C148">
        <f>SUMIFS(Sheet1!E:E, Sheet1!C:C, A148) - SUMIFS(Sheet1!F:F, Sheet1!C:C, A148)</f>
        <v>0</v>
      </c>
    </row>
    <row r="149" spans="1:3" x14ac:dyDescent="0.3">
      <c r="A149">
        <v>0</v>
      </c>
      <c r="B149" t="e">
        <f>VLOOKUP(A149,'Items List'!B150:C247, 2, FALSE)</f>
        <v>#N/A</v>
      </c>
      <c r="C149">
        <f>SUMIFS(Sheet1!E:E, Sheet1!C:C, A149) - SUMIFS(Sheet1!F:F, Sheet1!C:C, A149)</f>
        <v>0</v>
      </c>
    </row>
    <row r="150" spans="1:3" x14ac:dyDescent="0.3">
      <c r="A150">
        <v>0</v>
      </c>
      <c r="B150" t="e">
        <f>VLOOKUP(A150,'Items List'!B151:C248, 2, FALSE)</f>
        <v>#N/A</v>
      </c>
      <c r="C150">
        <f>SUMIFS(Sheet1!E:E, Sheet1!C:C, A150) - SUMIFS(Sheet1!F:F, Sheet1!C:C, A150)</f>
        <v>0</v>
      </c>
    </row>
    <row r="151" spans="1:3" x14ac:dyDescent="0.3">
      <c r="A151">
        <v>0</v>
      </c>
      <c r="B151" t="e">
        <f>VLOOKUP(A151,'Items List'!B152:C249, 2, FALSE)</f>
        <v>#N/A</v>
      </c>
      <c r="C151">
        <f>SUMIFS(Sheet1!E:E, Sheet1!C:C, A151) - SUMIFS(Sheet1!F:F, Sheet1!C:C, A151)</f>
        <v>0</v>
      </c>
    </row>
    <row r="152" spans="1:3" x14ac:dyDescent="0.3">
      <c r="A152">
        <v>0</v>
      </c>
      <c r="B152" t="e">
        <f>VLOOKUP(A152,'Items List'!B153:C250, 2, FALSE)</f>
        <v>#N/A</v>
      </c>
      <c r="C152">
        <f>SUMIFS(Sheet1!E:E, Sheet1!C:C, A152) - SUMIFS(Sheet1!F:F, Sheet1!C:C, A152)</f>
        <v>0</v>
      </c>
    </row>
    <row r="153" spans="1:3" x14ac:dyDescent="0.3">
      <c r="A153">
        <v>0</v>
      </c>
      <c r="B153" t="e">
        <f>VLOOKUP(A153,'Items List'!B154:C251, 2, FALSE)</f>
        <v>#N/A</v>
      </c>
      <c r="C153">
        <f>SUMIFS(Sheet1!E:E, Sheet1!C:C, A153) - SUMIFS(Sheet1!F:F, Sheet1!C:C, A153)</f>
        <v>0</v>
      </c>
    </row>
    <row r="154" spans="1:3" x14ac:dyDescent="0.3">
      <c r="A154">
        <v>0</v>
      </c>
      <c r="B154" t="e">
        <f>VLOOKUP(A154,'Items List'!B155:C252, 2, FALSE)</f>
        <v>#N/A</v>
      </c>
      <c r="C154">
        <f>SUMIFS(Sheet1!E:E, Sheet1!C:C, A154) - SUMIFS(Sheet1!F:F, Sheet1!C:C, A154)</f>
        <v>0</v>
      </c>
    </row>
    <row r="155" spans="1:3" x14ac:dyDescent="0.3">
      <c r="A155">
        <v>0</v>
      </c>
      <c r="B155" t="e">
        <f>VLOOKUP(A155,'Items List'!B156:C253, 2, FALSE)</f>
        <v>#N/A</v>
      </c>
      <c r="C155">
        <f>SUMIFS(Sheet1!E:E, Sheet1!C:C, A155) - SUMIFS(Sheet1!F:F, Sheet1!C:C, A155)</f>
        <v>0</v>
      </c>
    </row>
    <row r="156" spans="1:3" x14ac:dyDescent="0.3">
      <c r="A156">
        <v>0</v>
      </c>
      <c r="B156" t="e">
        <f>VLOOKUP(A156,'Items List'!B157:C254, 2, FALSE)</f>
        <v>#N/A</v>
      </c>
      <c r="C156">
        <f>SUMIFS(Sheet1!E:E, Sheet1!C:C, A156) - SUMIFS(Sheet1!F:F, Sheet1!C:C, A156)</f>
        <v>0</v>
      </c>
    </row>
    <row r="157" spans="1:3" x14ac:dyDescent="0.3">
      <c r="A157">
        <v>0</v>
      </c>
      <c r="B157" t="e">
        <f>VLOOKUP(A157,'Items List'!B158:C255, 2, FALSE)</f>
        <v>#N/A</v>
      </c>
      <c r="C157">
        <f>SUMIFS(Sheet1!E:E, Sheet1!C:C, A157) - SUMIFS(Sheet1!F:F, Sheet1!C:C, A157)</f>
        <v>0</v>
      </c>
    </row>
    <row r="158" spans="1:3" x14ac:dyDescent="0.3">
      <c r="A158">
        <v>0</v>
      </c>
      <c r="B158" t="e">
        <f>VLOOKUP(A158,'Items List'!B159:C256, 2, FALSE)</f>
        <v>#N/A</v>
      </c>
      <c r="C158">
        <f>SUMIFS(Sheet1!E:E, Sheet1!C:C, A158) - SUMIFS(Sheet1!F:F, Sheet1!C:C, A158)</f>
        <v>0</v>
      </c>
    </row>
    <row r="159" spans="1:3" x14ac:dyDescent="0.3">
      <c r="A159">
        <v>0</v>
      </c>
      <c r="B159" t="e">
        <f>VLOOKUP(A159,'Items List'!B160:C257, 2, FALSE)</f>
        <v>#N/A</v>
      </c>
      <c r="C159">
        <f>SUMIFS(Sheet1!E:E, Sheet1!C:C, A159) - SUMIFS(Sheet1!F:F, Sheet1!C:C, A159)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Items List</vt:lpstr>
      <vt:lpstr>Net Stock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2024-12-13T09:50:41Z</dcterms:created>
  <dcterms:modified xsi:type="dcterms:W3CDTF">2024-12-13T16:12:51Z</dcterms:modified>
</cp:coreProperties>
</file>